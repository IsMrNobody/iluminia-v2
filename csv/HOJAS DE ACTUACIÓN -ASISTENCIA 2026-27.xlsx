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BELLORINAZ\Desktop\I avance-actuación 26-27\"/>
    </mc:Choice>
  </mc:AlternateContent>
  <xr:revisionPtr revIDLastSave="0" documentId="8_{2C86D0AA-53F4-441E-9DDF-F6C1517199C3}" xr6:coauthVersionLast="47" xr6:coauthVersionMax="47" xr10:uidLastSave="{00000000-0000-0000-0000-000000000000}"/>
  <bookViews>
    <workbookView xWindow="-120" yWindow="-120" windowWidth="20730" windowHeight="11040" xr2:uid="{2D443CE7-0C83-4D75-9448-9EC7FD27E76A}"/>
  </bookViews>
  <sheets>
    <sheet name="AVANCE A" sheetId="55" r:id="rId1"/>
    <sheet name="ASISTENCIA A" sheetId="62" r:id="rId2"/>
    <sheet name="AVANCE B" sheetId="71" r:id="rId3"/>
    <sheet name="ASISTENCIA B" sheetId="72" r:id="rId4"/>
    <sheet name="AVANCE C" sheetId="73" r:id="rId5"/>
    <sheet name="ASISTENCIA C" sheetId="74" r:id="rId6"/>
    <sheet name="AVANCE D" sheetId="75" r:id="rId7"/>
    <sheet name="ASISTENCIA D" sheetId="76" r:id="rId8"/>
    <sheet name="AVANCE E" sheetId="77" r:id="rId9"/>
    <sheet name="ASISTENCIA E" sheetId="78" r:id="rId10"/>
  </sheets>
  <definedNames>
    <definedName name="_xlnm.Print_Area" localSheetId="0">'AVANCE A'!$A$1:$X$47</definedName>
    <definedName name="_xlnm.Print_Area" localSheetId="2">'AVANCE B'!$A$1:$X$45</definedName>
    <definedName name="_xlnm.Print_Area" localSheetId="4">'AVANCE C'!$A$1:$X$45</definedName>
    <definedName name="_xlnm.Print_Area" localSheetId="6">'AVANCE D'!$A$1:$X$45</definedName>
    <definedName name="_xlnm.Print_Area" localSheetId="8">'AVANCE E'!$A$1:$X$45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72" l="1"/>
  <c r="X2" i="74"/>
  <c r="X2" i="76"/>
  <c r="X2" i="78"/>
  <c r="X2" i="62"/>
  <c r="AF2" i="72"/>
  <c r="AF2" i="74"/>
  <c r="AF2" i="76"/>
  <c r="AF2" i="78"/>
  <c r="AF2" i="62"/>
  <c r="AB2" i="72"/>
  <c r="AB2" i="74"/>
  <c r="AB2" i="76"/>
  <c r="AB2" i="78"/>
  <c r="AB2" i="62"/>
  <c r="H15" i="71"/>
  <c r="W13" i="77" a="1"/>
  <c r="W13" i="77"/>
  <c r="W14" i="77" a="1"/>
  <c r="W14" i="77"/>
  <c r="W15" i="77" a="1"/>
  <c r="W15" i="77"/>
  <c r="W16" i="77" a="1"/>
  <c r="W16" i="77"/>
  <c r="W17" i="77" a="1"/>
  <c r="W17" i="77"/>
  <c r="W18" i="77" a="1"/>
  <c r="W18" i="77"/>
  <c r="W19" i="77" a="1"/>
  <c r="W19" i="77"/>
  <c r="W20" i="77" a="1"/>
  <c r="W20" i="77"/>
  <c r="W21" i="77" a="1"/>
  <c r="W21" i="77"/>
  <c r="W22" i="77" a="1"/>
  <c r="W22" i="77"/>
  <c r="W23" i="77" a="1"/>
  <c r="W23" i="77"/>
  <c r="W24" i="77" a="1"/>
  <c r="W24" i="77"/>
  <c r="W25" i="77" a="1"/>
  <c r="W25" i="77"/>
  <c r="W26" i="77" a="1"/>
  <c r="W26" i="77"/>
  <c r="W27" i="77" a="1"/>
  <c r="W27" i="77"/>
  <c r="W28" i="77" a="1"/>
  <c r="W28" i="77"/>
  <c r="W29" i="77" a="1"/>
  <c r="W29" i="77"/>
  <c r="W30" i="77" a="1"/>
  <c r="W30" i="77"/>
  <c r="W31" i="77" a="1"/>
  <c r="W31" i="77"/>
  <c r="W32" i="77" a="1"/>
  <c r="W32" i="77"/>
  <c r="W33" i="77" a="1"/>
  <c r="W33" i="77"/>
  <c r="W34" i="77" a="1"/>
  <c r="W34" i="77"/>
  <c r="W35" i="77" a="1"/>
  <c r="W35" i="77"/>
  <c r="W36" i="77" a="1"/>
  <c r="W36" i="77"/>
  <c r="W37" i="77" a="1"/>
  <c r="W37" i="77"/>
  <c r="W38" i="77" a="1"/>
  <c r="W38" i="77"/>
  <c r="W39" i="77" a="1"/>
  <c r="W39" i="77"/>
  <c r="W40" i="77" a="1"/>
  <c r="W40" i="77"/>
  <c r="W41" i="77" a="1"/>
  <c r="W41" i="77"/>
  <c r="W42" i="77" a="1"/>
  <c r="W42" i="77"/>
  <c r="W43" i="77" a="1"/>
  <c r="W43" i="77"/>
  <c r="W44" i="77" a="1"/>
  <c r="W44" i="77"/>
  <c r="W45" i="77" a="1"/>
  <c r="W45" i="77"/>
  <c r="W46" i="77" a="1"/>
  <c r="W46" i="77"/>
  <c r="W47" i="77" a="1"/>
  <c r="W47" i="77"/>
  <c r="W12" i="77" a="1"/>
  <c r="W12" i="77" s="1"/>
  <c r="W13" i="75" a="1"/>
  <c r="W13" i="75"/>
  <c r="W14" i="75" a="1"/>
  <c r="W14" i="75" s="1"/>
  <c r="W15" i="75" a="1"/>
  <c r="W15" i="75"/>
  <c r="W16" i="75" a="1"/>
  <c r="W16" i="75"/>
  <c r="W17" i="75" a="1"/>
  <c r="W17" i="75"/>
  <c r="W18" i="75" a="1"/>
  <c r="W18" i="75" s="1"/>
  <c r="W19" i="75" a="1"/>
  <c r="W19" i="75"/>
  <c r="W20" i="75" a="1"/>
  <c r="W20" i="75"/>
  <c r="W21" i="75" a="1"/>
  <c r="W21" i="75"/>
  <c r="W22" i="75" a="1"/>
  <c r="W22" i="75" s="1"/>
  <c r="W23" i="75" a="1"/>
  <c r="W23" i="75"/>
  <c r="W24" i="75" a="1"/>
  <c r="W24" i="75"/>
  <c r="W25" i="75" a="1"/>
  <c r="W25" i="75"/>
  <c r="W26" i="75" a="1"/>
  <c r="W26" i="75" s="1"/>
  <c r="W27" i="75" a="1"/>
  <c r="W27" i="75"/>
  <c r="W28" i="75" a="1"/>
  <c r="W28" i="75"/>
  <c r="W29" i="75" a="1"/>
  <c r="W29" i="75"/>
  <c r="W30" i="75" a="1"/>
  <c r="W30" i="75" s="1"/>
  <c r="W31" i="75" a="1"/>
  <c r="W31" i="75"/>
  <c r="W32" i="75" a="1"/>
  <c r="W32" i="75"/>
  <c r="W33" i="75" a="1"/>
  <c r="W33" i="75"/>
  <c r="W34" i="75" a="1"/>
  <c r="W34" i="75" s="1"/>
  <c r="W35" i="75" a="1"/>
  <c r="W35" i="75"/>
  <c r="W36" i="75" a="1"/>
  <c r="W36" i="75"/>
  <c r="W37" i="75" a="1"/>
  <c r="W37" i="75"/>
  <c r="W38" i="75" a="1"/>
  <c r="W38" i="75" s="1"/>
  <c r="W39" i="75" a="1"/>
  <c r="W39" i="75"/>
  <c r="W40" i="75" a="1"/>
  <c r="W40" i="75"/>
  <c r="W41" i="75" a="1"/>
  <c r="W41" i="75"/>
  <c r="W42" i="75" a="1"/>
  <c r="W42" i="75" s="1"/>
  <c r="W43" i="75" a="1"/>
  <c r="W43" i="75"/>
  <c r="W44" i="75" a="1"/>
  <c r="W44" i="75"/>
  <c r="W45" i="75" a="1"/>
  <c r="W45" i="75"/>
  <c r="W46" i="75" a="1"/>
  <c r="W46" i="75" s="1"/>
  <c r="W47" i="75" a="1"/>
  <c r="W47" i="75"/>
  <c r="W13" i="73" a="1"/>
  <c r="W13" i="73"/>
  <c r="W14" i="73" a="1"/>
  <c r="W14" i="73"/>
  <c r="W15" i="73" a="1"/>
  <c r="W15" i="73"/>
  <c r="W16" i="73" a="1"/>
  <c r="W16" i="73"/>
  <c r="W17" i="73" a="1"/>
  <c r="W17" i="73"/>
  <c r="W18" i="73" a="1"/>
  <c r="W18" i="73"/>
  <c r="W19" i="73" a="1"/>
  <c r="W19" i="73"/>
  <c r="W20" i="73" a="1"/>
  <c r="W20" i="73"/>
  <c r="W21" i="73" a="1"/>
  <c r="W21" i="73"/>
  <c r="W22" i="73" a="1"/>
  <c r="W22" i="73"/>
  <c r="W23" i="73" a="1"/>
  <c r="W23" i="73"/>
  <c r="W24" i="73" a="1"/>
  <c r="W24" i="73"/>
  <c r="W25" i="73" a="1"/>
  <c r="W25" i="73"/>
  <c r="W26" i="73" a="1"/>
  <c r="W26" i="73"/>
  <c r="W27" i="73" a="1"/>
  <c r="W27" i="73"/>
  <c r="W28" i="73" a="1"/>
  <c r="W28" i="73"/>
  <c r="W29" i="73" a="1"/>
  <c r="W29" i="73"/>
  <c r="W30" i="73" a="1"/>
  <c r="W30" i="73"/>
  <c r="W31" i="73" a="1"/>
  <c r="W31" i="73"/>
  <c r="W32" i="73" a="1"/>
  <c r="W32" i="73"/>
  <c r="W33" i="73" a="1"/>
  <c r="W33" i="73"/>
  <c r="W34" i="73" a="1"/>
  <c r="W34" i="73"/>
  <c r="W35" i="73" a="1"/>
  <c r="W35" i="73"/>
  <c r="W36" i="73" a="1"/>
  <c r="W36" i="73"/>
  <c r="W37" i="73" a="1"/>
  <c r="W37" i="73"/>
  <c r="W38" i="73" a="1"/>
  <c r="W38" i="73"/>
  <c r="W39" i="73" a="1"/>
  <c r="W39" i="73"/>
  <c r="W40" i="73" a="1"/>
  <c r="W40" i="73"/>
  <c r="W41" i="73" a="1"/>
  <c r="W41" i="73"/>
  <c r="W42" i="73" a="1"/>
  <c r="W42" i="73"/>
  <c r="W43" i="73" a="1"/>
  <c r="W43" i="73"/>
  <c r="W44" i="73" a="1"/>
  <c r="W44" i="73"/>
  <c r="W45" i="73" a="1"/>
  <c r="W45" i="73"/>
  <c r="W46" i="73" a="1"/>
  <c r="W46" i="73"/>
  <c r="W47" i="73" a="1"/>
  <c r="W47" i="73"/>
  <c r="W48" i="73" a="1"/>
  <c r="W48" i="73"/>
  <c r="W12" i="73" a="1"/>
  <c r="W12" i="73" s="1"/>
  <c r="W46" i="55" a="1"/>
  <c r="W46" i="55" s="1"/>
  <c r="W47" i="55" a="1"/>
  <c r="W47" i="55" s="1"/>
  <c r="W13" i="71" a="1"/>
  <c r="W13" i="71"/>
  <c r="W14" i="71" a="1"/>
  <c r="W14" i="71"/>
  <c r="W15" i="71" a="1"/>
  <c r="W15" i="71" s="1"/>
  <c r="W16" i="71" a="1"/>
  <c r="W16" i="71"/>
  <c r="W17" i="71" a="1"/>
  <c r="W17" i="71"/>
  <c r="W18" i="71" a="1"/>
  <c r="W18" i="71"/>
  <c r="W19" i="71" a="1"/>
  <c r="W19" i="71" s="1"/>
  <c r="W20" i="71" a="1"/>
  <c r="W20" i="71"/>
  <c r="W21" i="71" a="1"/>
  <c r="W21" i="71"/>
  <c r="W22" i="71" a="1"/>
  <c r="W22" i="71"/>
  <c r="W23" i="71" a="1"/>
  <c r="W23" i="71" s="1"/>
  <c r="W24" i="71" a="1"/>
  <c r="W24" i="71"/>
  <c r="W25" i="71" a="1"/>
  <c r="W25" i="71"/>
  <c r="W26" i="71" a="1"/>
  <c r="W26" i="71"/>
  <c r="W27" i="71" a="1"/>
  <c r="W27" i="71" s="1"/>
  <c r="W28" i="71" a="1"/>
  <c r="W28" i="71"/>
  <c r="W29" i="71" a="1"/>
  <c r="W29" i="71"/>
  <c r="W30" i="71" a="1"/>
  <c r="W30" i="71"/>
  <c r="W31" i="71" a="1"/>
  <c r="W31" i="71" s="1"/>
  <c r="W32" i="71" a="1"/>
  <c r="W32" i="71"/>
  <c r="W33" i="71" a="1"/>
  <c r="W33" i="71"/>
  <c r="W34" i="71" a="1"/>
  <c r="W34" i="71"/>
  <c r="W35" i="71" a="1"/>
  <c r="W35" i="71" s="1"/>
  <c r="W36" i="71" a="1"/>
  <c r="W36" i="71"/>
  <c r="W37" i="71" a="1"/>
  <c r="W37" i="71"/>
  <c r="W38" i="71" a="1"/>
  <c r="W38" i="71"/>
  <c r="W39" i="71" a="1"/>
  <c r="W39" i="71" s="1"/>
  <c r="W40" i="71" a="1"/>
  <c r="W40" i="71"/>
  <c r="W41" i="71" a="1"/>
  <c r="W41" i="71"/>
  <c r="W42" i="71" a="1"/>
  <c r="W42" i="71"/>
  <c r="W43" i="71" a="1"/>
  <c r="W43" i="71" s="1"/>
  <c r="W44" i="71" a="1"/>
  <c r="W44" i="71"/>
  <c r="W45" i="71" a="1"/>
  <c r="W45" i="71"/>
  <c r="W46" i="71" a="1"/>
  <c r="W46" i="71" s="1"/>
  <c r="W47" i="71" a="1"/>
  <c r="W47" i="71" s="1"/>
  <c r="W13" i="55" a="1"/>
  <c r="W13" i="55"/>
  <c r="W14" i="55" a="1"/>
  <c r="W14" i="55" s="1"/>
  <c r="W15" i="55" a="1"/>
  <c r="W15" i="55" s="1"/>
  <c r="W16" i="55" a="1"/>
  <c r="W16" i="55"/>
  <c r="W17" i="55" a="1"/>
  <c r="W17" i="55"/>
  <c r="W18" i="55" a="1"/>
  <c r="W18" i="55" s="1"/>
  <c r="W19" i="55" a="1"/>
  <c r="W19" i="55" s="1"/>
  <c r="W20" i="55" a="1"/>
  <c r="W20" i="55"/>
  <c r="W21" i="55" a="1"/>
  <c r="W21" i="55"/>
  <c r="W22" i="55" a="1"/>
  <c r="W22" i="55" s="1"/>
  <c r="W23" i="55" a="1"/>
  <c r="W23" i="55" s="1"/>
  <c r="W24" i="55" a="1"/>
  <c r="W24" i="55"/>
  <c r="W25" i="55" a="1"/>
  <c r="W25" i="55"/>
  <c r="W26" i="55" a="1"/>
  <c r="W26" i="55" s="1"/>
  <c r="W27" i="55" a="1"/>
  <c r="W27" i="55" s="1"/>
  <c r="W28" i="55" a="1"/>
  <c r="W28" i="55"/>
  <c r="W29" i="55" a="1"/>
  <c r="W29" i="55"/>
  <c r="W30" i="55" a="1"/>
  <c r="W30" i="55" s="1"/>
  <c r="W31" i="55" a="1"/>
  <c r="W31" i="55" s="1"/>
  <c r="W32" i="55" a="1"/>
  <c r="W32" i="55"/>
  <c r="W33" i="55" a="1"/>
  <c r="W33" i="55"/>
  <c r="W34" i="55" a="1"/>
  <c r="W34" i="55" s="1"/>
  <c r="W35" i="55" a="1"/>
  <c r="W35" i="55" s="1"/>
  <c r="W36" i="55" a="1"/>
  <c r="W36" i="55"/>
  <c r="W37" i="55" a="1"/>
  <c r="W37" i="55"/>
  <c r="W38" i="55" a="1"/>
  <c r="W38" i="55" s="1"/>
  <c r="W39" i="55" a="1"/>
  <c r="W39" i="55" s="1"/>
  <c r="W40" i="55" a="1"/>
  <c r="W40" i="55"/>
  <c r="W41" i="55" a="1"/>
  <c r="W41" i="55"/>
  <c r="W42" i="55" a="1"/>
  <c r="W42" i="55" s="1"/>
  <c r="W43" i="55" a="1"/>
  <c r="W43" i="55" s="1"/>
  <c r="W44" i="55" a="1"/>
  <c r="W44" i="55"/>
  <c r="AI10" i="72"/>
  <c r="AI11" i="72"/>
  <c r="AI12" i="72"/>
  <c r="AI13" i="72"/>
  <c r="AI14" i="72"/>
  <c r="AI15" i="72"/>
  <c r="AI16" i="72"/>
  <c r="AI17" i="72"/>
  <c r="AI18" i="72"/>
  <c r="AI19" i="72"/>
  <c r="AI20" i="72"/>
  <c r="AI21" i="72"/>
  <c r="AI22" i="72"/>
  <c r="AI23" i="72"/>
  <c r="AI24" i="72"/>
  <c r="AI25" i="72"/>
  <c r="AI26" i="72"/>
  <c r="AI27" i="72"/>
  <c r="AI28" i="72"/>
  <c r="AI29" i="72"/>
  <c r="AI30" i="72"/>
  <c r="AI31" i="72"/>
  <c r="AI32" i="72"/>
  <c r="AI33" i="72"/>
  <c r="AI34" i="72"/>
  <c r="AI35" i="72"/>
  <c r="AI36" i="72"/>
  <c r="AI37" i="72"/>
  <c r="AI38" i="72"/>
  <c r="AI39" i="72"/>
  <c r="AI40" i="72"/>
  <c r="AI41" i="72"/>
  <c r="AI42" i="72"/>
  <c r="AI10" i="74"/>
  <c r="AI11" i="74"/>
  <c r="AI12" i="74"/>
  <c r="AI13" i="74"/>
  <c r="AI14" i="74"/>
  <c r="AI15" i="74"/>
  <c r="AI16" i="74"/>
  <c r="AI17" i="74"/>
  <c r="AI18" i="74"/>
  <c r="AI19" i="74"/>
  <c r="AI20" i="74"/>
  <c r="AI21" i="74"/>
  <c r="AI22" i="74"/>
  <c r="AI23" i="74"/>
  <c r="AI24" i="74"/>
  <c r="AI25" i="74"/>
  <c r="AI26" i="74"/>
  <c r="AI27" i="74"/>
  <c r="AI28" i="74"/>
  <c r="AI29" i="74"/>
  <c r="AI30" i="74"/>
  <c r="AI31" i="74"/>
  <c r="AI32" i="74"/>
  <c r="AI33" i="74"/>
  <c r="AI34" i="74"/>
  <c r="AI35" i="74"/>
  <c r="AI36" i="74"/>
  <c r="AI37" i="74"/>
  <c r="AI38" i="74"/>
  <c r="AI39" i="74"/>
  <c r="AI40" i="74"/>
  <c r="AI41" i="74"/>
  <c r="AI42" i="74"/>
  <c r="AI10" i="76"/>
  <c r="AI11" i="76"/>
  <c r="AI12" i="76"/>
  <c r="AI13" i="76"/>
  <c r="AI14" i="76"/>
  <c r="AI15" i="76"/>
  <c r="AI16" i="76"/>
  <c r="AI17" i="76"/>
  <c r="AI18" i="76"/>
  <c r="AI19" i="76"/>
  <c r="AI20" i="76"/>
  <c r="AI21" i="76"/>
  <c r="AI22" i="76"/>
  <c r="AI23" i="76"/>
  <c r="AI24" i="76"/>
  <c r="AI25" i="76"/>
  <c r="AI26" i="76"/>
  <c r="AI27" i="76"/>
  <c r="AI28" i="76"/>
  <c r="AI29" i="76"/>
  <c r="AI30" i="76"/>
  <c r="AI31" i="76"/>
  <c r="AI32" i="76"/>
  <c r="AI33" i="76"/>
  <c r="AI34" i="76"/>
  <c r="AI35" i="76"/>
  <c r="AI36" i="76"/>
  <c r="AI37" i="76"/>
  <c r="AI38" i="76"/>
  <c r="AI39" i="76"/>
  <c r="AI40" i="76"/>
  <c r="AI41" i="76"/>
  <c r="AI42" i="76"/>
  <c r="AI10" i="78"/>
  <c r="AI11" i="78"/>
  <c r="AI12" i="78"/>
  <c r="AI13" i="78"/>
  <c r="AI14" i="78"/>
  <c r="AI15" i="78"/>
  <c r="AI16" i="78"/>
  <c r="AI17" i="78"/>
  <c r="AI18" i="78"/>
  <c r="AI19" i="78"/>
  <c r="AI20" i="78"/>
  <c r="AI21" i="78"/>
  <c r="AI22" i="78"/>
  <c r="AI23" i="78"/>
  <c r="AI24" i="78"/>
  <c r="AI25" i="78"/>
  <c r="AI26" i="78"/>
  <c r="AI27" i="78"/>
  <c r="AI28" i="78"/>
  <c r="AI29" i="78"/>
  <c r="AI30" i="78"/>
  <c r="AI31" i="78"/>
  <c r="AI32" i="78"/>
  <c r="AI33" i="78"/>
  <c r="AI34" i="78"/>
  <c r="AI35" i="78"/>
  <c r="AI36" i="78"/>
  <c r="AI37" i="78"/>
  <c r="AI38" i="78"/>
  <c r="AI39" i="78"/>
  <c r="AI40" i="78"/>
  <c r="AI41" i="78"/>
  <c r="AI42" i="78"/>
  <c r="AI10" i="62"/>
  <c r="AI11" i="62"/>
  <c r="AI12" i="62"/>
  <c r="AI13" i="62"/>
  <c r="AI14" i="62"/>
  <c r="AI15" i="62"/>
  <c r="AI16" i="62"/>
  <c r="AI17" i="62"/>
  <c r="AI18" i="62"/>
  <c r="AI19" i="62"/>
  <c r="AI20" i="62"/>
  <c r="AI21" i="62"/>
  <c r="AI22" i="62"/>
  <c r="AI23" i="62"/>
  <c r="AI24" i="62"/>
  <c r="AI25" i="62"/>
  <c r="AI26" i="62"/>
  <c r="AI27" i="62"/>
  <c r="AI28" i="62"/>
  <c r="AI29" i="62"/>
  <c r="AI30" i="62"/>
  <c r="AI31" i="62"/>
  <c r="AI32" i="62"/>
  <c r="AI33" i="62"/>
  <c r="AI34" i="62"/>
  <c r="AI35" i="62"/>
  <c r="AI36" i="62"/>
  <c r="AI37" i="62"/>
  <c r="AI38" i="62"/>
  <c r="AI39" i="62"/>
  <c r="AI40" i="62"/>
  <c r="AI41" i="62"/>
  <c r="AI42" i="62"/>
  <c r="W45" i="55" s="1" a="1"/>
  <c r="W45" i="55" s="1"/>
  <c r="AI9" i="72"/>
  <c r="W12" i="71" s="1" a="1"/>
  <c r="W12" i="71" s="1"/>
  <c r="AI9" i="74"/>
  <c r="AI9" i="76"/>
  <c r="W12" i="75" s="1" a="1"/>
  <c r="W12" i="75" s="1"/>
  <c r="AI9" i="78"/>
  <c r="AI9" i="62"/>
  <c r="W12" i="55" s="1" a="1"/>
  <c r="W12" i="55" s="1"/>
  <c r="D47" i="71"/>
  <c r="F47" i="71"/>
  <c r="H47" i="71"/>
  <c r="N47" i="71"/>
  <c r="L47" i="71"/>
  <c r="J47" i="71"/>
  <c r="J12" i="77"/>
  <c r="J13" i="77"/>
  <c r="J14" i="77"/>
  <c r="J15" i="77"/>
  <c r="J16" i="77"/>
  <c r="J17" i="77"/>
  <c r="J18" i="77"/>
  <c r="J19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32" i="77"/>
  <c r="J33" i="77"/>
  <c r="J34" i="77"/>
  <c r="J12" i="75"/>
  <c r="J13" i="75"/>
  <c r="J14" i="75"/>
  <c r="J15" i="75"/>
  <c r="J16" i="75"/>
  <c r="J17" i="75"/>
  <c r="J18" i="75"/>
  <c r="J19" i="75"/>
  <c r="J20" i="75"/>
  <c r="J21" i="75"/>
  <c r="J22" i="75"/>
  <c r="J23" i="75"/>
  <c r="J24" i="75"/>
  <c r="J25" i="75"/>
  <c r="J26" i="75"/>
  <c r="J27" i="75"/>
  <c r="J28" i="75"/>
  <c r="J29" i="75"/>
  <c r="J30" i="75"/>
  <c r="J31" i="75"/>
  <c r="J32" i="75"/>
  <c r="J33" i="75"/>
  <c r="J34" i="75"/>
  <c r="J12" i="73"/>
  <c r="J13" i="73"/>
  <c r="J14" i="73"/>
  <c r="J15" i="73"/>
  <c r="J16" i="73"/>
  <c r="J17" i="73"/>
  <c r="J18" i="73"/>
  <c r="J19" i="73"/>
  <c r="J20" i="73"/>
  <c r="J21" i="73"/>
  <c r="J22" i="73"/>
  <c r="J23" i="73"/>
  <c r="J24" i="73"/>
  <c r="J25" i="73"/>
  <c r="J26" i="73"/>
  <c r="J27" i="73"/>
  <c r="J28" i="73"/>
  <c r="J29" i="73"/>
  <c r="J30" i="73"/>
  <c r="J31" i="73"/>
  <c r="J32" i="73"/>
  <c r="J33" i="73"/>
  <c r="J34" i="73"/>
  <c r="J12" i="71"/>
  <c r="J13" i="71"/>
  <c r="J14" i="71"/>
  <c r="J15" i="71"/>
  <c r="J16" i="71"/>
  <c r="J17" i="71"/>
  <c r="J18" i="71"/>
  <c r="J19" i="71"/>
  <c r="J20" i="71"/>
  <c r="J21" i="71"/>
  <c r="J22" i="71"/>
  <c r="J23" i="71"/>
  <c r="J24" i="71"/>
  <c r="J25" i="71"/>
  <c r="J26" i="71"/>
  <c r="J27" i="71"/>
  <c r="J28" i="71"/>
  <c r="J29" i="71"/>
  <c r="J30" i="71"/>
  <c r="J31" i="71"/>
  <c r="J32" i="71"/>
  <c r="J33" i="71"/>
  <c r="J34" i="7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J32" i="55"/>
  <c r="J33" i="55"/>
  <c r="J34" i="55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17" i="77"/>
  <c r="N18" i="77"/>
  <c r="N19" i="77"/>
  <c r="N20" i="77"/>
  <c r="N21" i="77"/>
  <c r="N22" i="77"/>
  <c r="N23" i="77"/>
  <c r="N24" i="77"/>
  <c r="N25" i="77"/>
  <c r="N26" i="77"/>
  <c r="N27" i="77"/>
  <c r="N28" i="77"/>
  <c r="N29" i="77"/>
  <c r="N30" i="77"/>
  <c r="N31" i="77"/>
  <c r="N32" i="77"/>
  <c r="N33" i="77"/>
  <c r="N34" i="77"/>
  <c r="N35" i="77"/>
  <c r="N36" i="77"/>
  <c r="N37" i="77"/>
  <c r="N38" i="77"/>
  <c r="N39" i="77"/>
  <c r="N40" i="77"/>
  <c r="N41" i="77"/>
  <c r="N42" i="77"/>
  <c r="N43" i="77"/>
  <c r="N44" i="77"/>
  <c r="N45" i="77"/>
  <c r="N46" i="77"/>
  <c r="N47" i="77"/>
  <c r="N17" i="77"/>
  <c r="B42" i="78" a="1"/>
  <c r="B42" i="78" s="1"/>
  <c r="B41" i="78" a="1"/>
  <c r="B41" i="78" s="1"/>
  <c r="B40" i="78" a="1"/>
  <c r="B40" i="78" s="1"/>
  <c r="B39" i="78" a="1"/>
  <c r="B39" i="78" s="1"/>
  <c r="B38" i="78" a="1"/>
  <c r="B38" i="78" s="1"/>
  <c r="B37" i="78" a="1"/>
  <c r="B37" i="78" s="1"/>
  <c r="B36" i="78" a="1"/>
  <c r="B36" i="78" s="1"/>
  <c r="B35" i="78" a="1"/>
  <c r="B35" i="78" s="1"/>
  <c r="B34" i="78" a="1"/>
  <c r="B34" i="78" s="1"/>
  <c r="B33" i="78" a="1"/>
  <c r="B33" i="78" s="1"/>
  <c r="B32" i="78" a="1"/>
  <c r="B32" i="78" s="1"/>
  <c r="B31" i="78" a="1"/>
  <c r="B31" i="78" s="1"/>
  <c r="B30" i="78" a="1"/>
  <c r="B30" i="78" s="1"/>
  <c r="B29" i="78" a="1"/>
  <c r="B29" i="78" s="1"/>
  <c r="B28" i="78" a="1"/>
  <c r="B28" i="78" s="1"/>
  <c r="B27" i="78" a="1"/>
  <c r="B27" i="78" s="1"/>
  <c r="B26" i="78" a="1"/>
  <c r="B26" i="78" s="1"/>
  <c r="B25" i="78" a="1"/>
  <c r="B25" i="78" s="1"/>
  <c r="B24" i="78"/>
  <c r="B24" i="78" a="1"/>
  <c r="B23" i="78" a="1"/>
  <c r="B23" i="78" s="1"/>
  <c r="B22" i="78" a="1"/>
  <c r="B22" i="78" s="1"/>
  <c r="B21" i="78" a="1"/>
  <c r="B21" i="78" s="1"/>
  <c r="B20" i="78" a="1"/>
  <c r="B20" i="78" s="1"/>
  <c r="B19" i="78" a="1"/>
  <c r="B19" i="78" s="1"/>
  <c r="B18" i="78" a="1"/>
  <c r="B18" i="78" s="1"/>
  <c r="B17" i="78" a="1"/>
  <c r="B17" i="78" s="1"/>
  <c r="B16" i="78" a="1"/>
  <c r="B16" i="78" s="1"/>
  <c r="B15" i="78" a="1"/>
  <c r="B15" i="78" s="1"/>
  <c r="B14" i="78" a="1"/>
  <c r="B14" i="78" s="1"/>
  <c r="B13" i="78" a="1"/>
  <c r="B13" i="78" s="1"/>
  <c r="B12" i="78" a="1"/>
  <c r="B12" i="78" s="1"/>
  <c r="B11" i="78" a="1"/>
  <c r="B11" i="78" s="1"/>
  <c r="B10" i="78" a="1"/>
  <c r="B10" i="78" s="1"/>
  <c r="B9" i="78"/>
  <c r="B5" i="78"/>
  <c r="B4" i="78"/>
  <c r="B3" i="78"/>
  <c r="S47" i="77"/>
  <c r="J47" i="77"/>
  <c r="H47" i="77"/>
  <c r="F47" i="77"/>
  <c r="D47" i="77"/>
  <c r="S46" i="77"/>
  <c r="J46" i="77"/>
  <c r="H46" i="77"/>
  <c r="F46" i="77"/>
  <c r="D46" i="77"/>
  <c r="S45" i="77"/>
  <c r="J45" i="77"/>
  <c r="H45" i="77"/>
  <c r="F45" i="77"/>
  <c r="D45" i="77"/>
  <c r="S44" i="77"/>
  <c r="J44" i="77"/>
  <c r="H44" i="77"/>
  <c r="F44" i="77"/>
  <c r="D44" i="77"/>
  <c r="S43" i="77"/>
  <c r="J43" i="77"/>
  <c r="H43" i="77"/>
  <c r="F43" i="77"/>
  <c r="D43" i="77"/>
  <c r="S42" i="77"/>
  <c r="J42" i="77"/>
  <c r="H42" i="77"/>
  <c r="F42" i="77"/>
  <c r="D42" i="77"/>
  <c r="S41" i="77"/>
  <c r="J41" i="77"/>
  <c r="H41" i="77"/>
  <c r="F41" i="77"/>
  <c r="D41" i="77"/>
  <c r="S40" i="77"/>
  <c r="J40" i="77"/>
  <c r="H40" i="77"/>
  <c r="F40" i="77"/>
  <c r="D40" i="77"/>
  <c r="S39" i="77"/>
  <c r="J39" i="77"/>
  <c r="H39" i="77"/>
  <c r="F39" i="77"/>
  <c r="D39" i="77"/>
  <c r="S38" i="77"/>
  <c r="J38" i="77"/>
  <c r="H38" i="77"/>
  <c r="F38" i="77"/>
  <c r="D38" i="77"/>
  <c r="S37" i="77"/>
  <c r="J37" i="77"/>
  <c r="H37" i="77"/>
  <c r="F37" i="77"/>
  <c r="D37" i="77"/>
  <c r="S36" i="77"/>
  <c r="J36" i="77"/>
  <c r="H36" i="77"/>
  <c r="F36" i="77"/>
  <c r="D36" i="77"/>
  <c r="S35" i="77"/>
  <c r="J35" i="77"/>
  <c r="H35" i="77"/>
  <c r="F35" i="77"/>
  <c r="D35" i="77"/>
  <c r="S34" i="77"/>
  <c r="H34" i="77"/>
  <c r="F34" i="77"/>
  <c r="D34" i="77"/>
  <c r="S33" i="77"/>
  <c r="H33" i="77"/>
  <c r="F33" i="77"/>
  <c r="D33" i="77"/>
  <c r="S32" i="77"/>
  <c r="H32" i="77"/>
  <c r="F32" i="77"/>
  <c r="D32" i="77"/>
  <c r="S31" i="77"/>
  <c r="H31" i="77"/>
  <c r="F31" i="77"/>
  <c r="D31" i="77"/>
  <c r="S30" i="77"/>
  <c r="H30" i="77"/>
  <c r="F30" i="77"/>
  <c r="D30" i="77"/>
  <c r="S29" i="77"/>
  <c r="H29" i="77"/>
  <c r="F29" i="77"/>
  <c r="D29" i="77"/>
  <c r="S28" i="77"/>
  <c r="H28" i="77"/>
  <c r="F28" i="77"/>
  <c r="D28" i="77"/>
  <c r="S27" i="77"/>
  <c r="H27" i="77"/>
  <c r="F27" i="77"/>
  <c r="D27" i="77"/>
  <c r="S26" i="77"/>
  <c r="H26" i="77"/>
  <c r="F26" i="77"/>
  <c r="D26" i="77"/>
  <c r="S25" i="77"/>
  <c r="H25" i="77"/>
  <c r="F25" i="77"/>
  <c r="D25" i="77"/>
  <c r="S24" i="77"/>
  <c r="H24" i="77"/>
  <c r="F24" i="77"/>
  <c r="D24" i="77"/>
  <c r="S23" i="77"/>
  <c r="H23" i="77"/>
  <c r="F23" i="77"/>
  <c r="D23" i="77"/>
  <c r="S22" i="77"/>
  <c r="H22" i="77"/>
  <c r="F22" i="77"/>
  <c r="D22" i="77"/>
  <c r="S21" i="77"/>
  <c r="H21" i="77"/>
  <c r="F21" i="77"/>
  <c r="D21" i="77"/>
  <c r="S20" i="77"/>
  <c r="H20" i="77"/>
  <c r="F20" i="77"/>
  <c r="D20" i="77"/>
  <c r="S19" i="77"/>
  <c r="H19" i="77"/>
  <c r="F19" i="77"/>
  <c r="D19" i="77"/>
  <c r="S18" i="77"/>
  <c r="H18" i="77"/>
  <c r="F18" i="77"/>
  <c r="D18" i="77"/>
  <c r="S17" i="77"/>
  <c r="H17" i="77"/>
  <c r="F17" i="77"/>
  <c r="D17" i="77"/>
  <c r="S16" i="77"/>
  <c r="N16" i="77"/>
  <c r="L16" i="77"/>
  <c r="H16" i="77"/>
  <c r="F16" i="77"/>
  <c r="D16" i="77"/>
  <c r="S15" i="77"/>
  <c r="N15" i="77"/>
  <c r="L15" i="77"/>
  <c r="H15" i="77"/>
  <c r="F15" i="77"/>
  <c r="D15" i="77"/>
  <c r="S14" i="77"/>
  <c r="N14" i="77"/>
  <c r="L14" i="77"/>
  <c r="H14" i="77"/>
  <c r="F14" i="77"/>
  <c r="D14" i="77"/>
  <c r="S13" i="77"/>
  <c r="N13" i="77"/>
  <c r="L13" i="77"/>
  <c r="H13" i="77"/>
  <c r="F13" i="77"/>
  <c r="D13" i="77"/>
  <c r="A13" i="77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S12" i="77"/>
  <c r="N12" i="77"/>
  <c r="L12" i="77"/>
  <c r="H12" i="77"/>
  <c r="F12" i="77"/>
  <c r="D12" i="77"/>
  <c r="O5" i="77"/>
  <c r="N4" i="77" a="1"/>
  <c r="N4" i="77" s="1"/>
  <c r="L4" i="77" a="1"/>
  <c r="L4" i="77" s="1"/>
  <c r="J4" i="77" a="1"/>
  <c r="J4" i="77" s="1"/>
  <c r="H4" i="77" a="1"/>
  <c r="H4" i="77" s="1"/>
  <c r="F4" i="77" a="1"/>
  <c r="F4" i="77" s="1"/>
  <c r="D4" i="77" a="1"/>
  <c r="D4" i="77" s="1"/>
  <c r="B42" i="76" a="1"/>
  <c r="B42" i="76" s="1"/>
  <c r="B41" i="76" a="1"/>
  <c r="B41" i="76" s="1"/>
  <c r="B40" i="76" a="1"/>
  <c r="B40" i="76" s="1"/>
  <c r="B39" i="76" a="1"/>
  <c r="B39" i="76" s="1"/>
  <c r="B38" i="76" a="1"/>
  <c r="B38" i="76" s="1"/>
  <c r="B37" i="76" a="1"/>
  <c r="B37" i="76" s="1"/>
  <c r="B36" i="76" a="1"/>
  <c r="B36" i="76" s="1"/>
  <c r="B35" i="76" a="1"/>
  <c r="B35" i="76" s="1"/>
  <c r="B34" i="76" a="1"/>
  <c r="B34" i="76" s="1"/>
  <c r="B33" i="76" a="1"/>
  <c r="B33" i="76" s="1"/>
  <c r="B32" i="76" a="1"/>
  <c r="B32" i="76" s="1"/>
  <c r="B31" i="76" a="1"/>
  <c r="B31" i="76" s="1"/>
  <c r="B30" i="76" a="1"/>
  <c r="B30" i="76" s="1"/>
  <c r="B29" i="76" a="1"/>
  <c r="B29" i="76" s="1"/>
  <c r="B28" i="76" a="1"/>
  <c r="B28" i="76" s="1"/>
  <c r="B27" i="76" a="1"/>
  <c r="B27" i="76" s="1"/>
  <c r="B26" i="76" a="1"/>
  <c r="B26" i="76" s="1"/>
  <c r="B25" i="76" a="1"/>
  <c r="B25" i="76" s="1"/>
  <c r="B24" i="76" a="1"/>
  <c r="B24" i="76" s="1"/>
  <c r="B23" i="76" a="1"/>
  <c r="B23" i="76" s="1"/>
  <c r="B22" i="76" a="1"/>
  <c r="B22" i="76" s="1"/>
  <c r="B21" i="76" a="1"/>
  <c r="B21" i="76" s="1"/>
  <c r="B20" i="76" a="1"/>
  <c r="B20" i="76" s="1"/>
  <c r="B19" i="76" a="1"/>
  <c r="B19" i="76" s="1"/>
  <c r="B18" i="76" a="1"/>
  <c r="B18" i="76" s="1"/>
  <c r="B17" i="76" a="1"/>
  <c r="B17" i="76" s="1"/>
  <c r="B16" i="76" a="1"/>
  <c r="B16" i="76" s="1"/>
  <c r="B15" i="76" a="1"/>
  <c r="B15" i="76" s="1"/>
  <c r="B14" i="76" a="1"/>
  <c r="B14" i="76" s="1"/>
  <c r="B13" i="76" a="1"/>
  <c r="B13" i="76" s="1"/>
  <c r="B12" i="76" a="1"/>
  <c r="B12" i="76" s="1"/>
  <c r="B11" i="76" a="1"/>
  <c r="B11" i="76" s="1"/>
  <c r="B10" i="76" a="1"/>
  <c r="B10" i="76" s="1"/>
  <c r="B9" i="76"/>
  <c r="B5" i="76"/>
  <c r="B4" i="76"/>
  <c r="B3" i="76"/>
  <c r="S47" i="75"/>
  <c r="N47" i="75"/>
  <c r="L47" i="75"/>
  <c r="J47" i="75"/>
  <c r="H47" i="75"/>
  <c r="F47" i="75"/>
  <c r="D47" i="75"/>
  <c r="S46" i="75"/>
  <c r="N46" i="75"/>
  <c r="L46" i="75"/>
  <c r="J46" i="75"/>
  <c r="H46" i="75"/>
  <c r="F46" i="75"/>
  <c r="D46" i="75"/>
  <c r="S45" i="75"/>
  <c r="N45" i="75"/>
  <c r="L45" i="75"/>
  <c r="J45" i="75"/>
  <c r="H45" i="75"/>
  <c r="F45" i="75"/>
  <c r="D45" i="75"/>
  <c r="S44" i="75"/>
  <c r="N44" i="75"/>
  <c r="L44" i="75"/>
  <c r="J44" i="75"/>
  <c r="H44" i="75"/>
  <c r="F44" i="75"/>
  <c r="D44" i="75"/>
  <c r="S43" i="75"/>
  <c r="N43" i="75"/>
  <c r="L43" i="75"/>
  <c r="J43" i="75"/>
  <c r="H43" i="75"/>
  <c r="F43" i="75"/>
  <c r="D43" i="75"/>
  <c r="S42" i="75"/>
  <c r="N42" i="75"/>
  <c r="L42" i="75"/>
  <c r="J42" i="75"/>
  <c r="H42" i="75"/>
  <c r="F42" i="75"/>
  <c r="D42" i="75"/>
  <c r="S41" i="75"/>
  <c r="N41" i="75"/>
  <c r="L41" i="75"/>
  <c r="J41" i="75"/>
  <c r="H41" i="75"/>
  <c r="F41" i="75"/>
  <c r="D41" i="75"/>
  <c r="S40" i="75"/>
  <c r="N40" i="75"/>
  <c r="L40" i="75"/>
  <c r="J40" i="75"/>
  <c r="H40" i="75"/>
  <c r="F40" i="75"/>
  <c r="D40" i="75"/>
  <c r="S39" i="75"/>
  <c r="N39" i="75"/>
  <c r="L39" i="75"/>
  <c r="J39" i="75"/>
  <c r="H39" i="75"/>
  <c r="F39" i="75"/>
  <c r="D39" i="75"/>
  <c r="S38" i="75"/>
  <c r="N38" i="75"/>
  <c r="L38" i="75"/>
  <c r="J38" i="75"/>
  <c r="H38" i="75"/>
  <c r="F38" i="75"/>
  <c r="D38" i="75"/>
  <c r="S37" i="75"/>
  <c r="N37" i="75"/>
  <c r="L37" i="75"/>
  <c r="J37" i="75"/>
  <c r="H37" i="75"/>
  <c r="F37" i="75"/>
  <c r="D37" i="75"/>
  <c r="S36" i="75"/>
  <c r="N36" i="75"/>
  <c r="L36" i="75"/>
  <c r="J36" i="75"/>
  <c r="H36" i="75"/>
  <c r="F36" i="75"/>
  <c r="D36" i="75"/>
  <c r="S35" i="75"/>
  <c r="N35" i="75"/>
  <c r="L35" i="75"/>
  <c r="J35" i="75"/>
  <c r="H35" i="75"/>
  <c r="F35" i="75"/>
  <c r="D35" i="75"/>
  <c r="S34" i="75"/>
  <c r="N34" i="75"/>
  <c r="L34" i="75"/>
  <c r="H34" i="75"/>
  <c r="F34" i="75"/>
  <c r="D34" i="75"/>
  <c r="S33" i="75"/>
  <c r="N33" i="75"/>
  <c r="L33" i="75"/>
  <c r="H33" i="75"/>
  <c r="F33" i="75"/>
  <c r="D33" i="75"/>
  <c r="S32" i="75"/>
  <c r="N32" i="75"/>
  <c r="L32" i="75"/>
  <c r="H32" i="75"/>
  <c r="F32" i="75"/>
  <c r="D32" i="75"/>
  <c r="S31" i="75"/>
  <c r="N31" i="75"/>
  <c r="L31" i="75"/>
  <c r="H31" i="75"/>
  <c r="F31" i="75"/>
  <c r="D31" i="75"/>
  <c r="S30" i="75"/>
  <c r="N30" i="75"/>
  <c r="L30" i="75"/>
  <c r="H30" i="75"/>
  <c r="F30" i="75"/>
  <c r="D30" i="75"/>
  <c r="S29" i="75"/>
  <c r="N29" i="75"/>
  <c r="L29" i="75"/>
  <c r="H29" i="75"/>
  <c r="F29" i="75"/>
  <c r="D29" i="75"/>
  <c r="S28" i="75"/>
  <c r="N28" i="75"/>
  <c r="L28" i="75"/>
  <c r="H28" i="75"/>
  <c r="F28" i="75"/>
  <c r="D28" i="75"/>
  <c r="S27" i="75"/>
  <c r="N27" i="75"/>
  <c r="L27" i="75"/>
  <c r="H27" i="75"/>
  <c r="F27" i="75"/>
  <c r="D27" i="75"/>
  <c r="S26" i="75"/>
  <c r="N26" i="75"/>
  <c r="L26" i="75"/>
  <c r="H26" i="75"/>
  <c r="F26" i="75"/>
  <c r="D26" i="75"/>
  <c r="S25" i="75"/>
  <c r="N25" i="75"/>
  <c r="L25" i="75"/>
  <c r="H25" i="75"/>
  <c r="F25" i="75"/>
  <c r="D25" i="75"/>
  <c r="S24" i="75"/>
  <c r="N24" i="75"/>
  <c r="L24" i="75"/>
  <c r="H24" i="75"/>
  <c r="F24" i="75"/>
  <c r="D24" i="75"/>
  <c r="S23" i="75"/>
  <c r="N23" i="75"/>
  <c r="L23" i="75"/>
  <c r="H23" i="75"/>
  <c r="F23" i="75"/>
  <c r="D23" i="75"/>
  <c r="S22" i="75"/>
  <c r="N22" i="75"/>
  <c r="L22" i="75"/>
  <c r="H22" i="75"/>
  <c r="F22" i="75"/>
  <c r="D22" i="75"/>
  <c r="S21" i="75"/>
  <c r="N21" i="75"/>
  <c r="L21" i="75"/>
  <c r="H21" i="75"/>
  <c r="F21" i="75"/>
  <c r="D21" i="75"/>
  <c r="S20" i="75"/>
  <c r="N20" i="75"/>
  <c r="L20" i="75"/>
  <c r="H20" i="75"/>
  <c r="F20" i="75"/>
  <c r="D20" i="75"/>
  <c r="S19" i="75"/>
  <c r="N19" i="75"/>
  <c r="L19" i="75"/>
  <c r="H19" i="75"/>
  <c r="F19" i="75"/>
  <c r="D19" i="75"/>
  <c r="S18" i="75"/>
  <c r="N18" i="75"/>
  <c r="L18" i="75"/>
  <c r="H18" i="75"/>
  <c r="F18" i="75"/>
  <c r="D18" i="75"/>
  <c r="S17" i="75"/>
  <c r="N17" i="75"/>
  <c r="L17" i="75"/>
  <c r="H17" i="75"/>
  <c r="F17" i="75"/>
  <c r="D17" i="75"/>
  <c r="S16" i="75"/>
  <c r="N16" i="75"/>
  <c r="L16" i="75"/>
  <c r="H16" i="75"/>
  <c r="F16" i="75"/>
  <c r="D16" i="75"/>
  <c r="S15" i="75"/>
  <c r="N15" i="75"/>
  <c r="L15" i="75"/>
  <c r="H15" i="75"/>
  <c r="F15" i="75"/>
  <c r="D15" i="75"/>
  <c r="S14" i="75"/>
  <c r="N14" i="75"/>
  <c r="L14" i="75"/>
  <c r="H14" i="75"/>
  <c r="F14" i="75"/>
  <c r="D14" i="75"/>
  <c r="S13" i="75"/>
  <c r="N13" i="75"/>
  <c r="L13" i="75"/>
  <c r="H13" i="75"/>
  <c r="F13" i="75"/>
  <c r="D13" i="75"/>
  <c r="A13" i="75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S12" i="75"/>
  <c r="N12" i="75"/>
  <c r="L12" i="75"/>
  <c r="H12" i="75"/>
  <c r="F12" i="75"/>
  <c r="D12" i="75"/>
  <c r="O5" i="75"/>
  <c r="N4" i="75" a="1"/>
  <c r="N4" i="75" s="1"/>
  <c r="L4" i="75" a="1"/>
  <c r="L4" i="75" s="1"/>
  <c r="J4" i="75" a="1"/>
  <c r="J4" i="75" s="1"/>
  <c r="H4" i="75" a="1"/>
  <c r="H4" i="75" s="1"/>
  <c r="F4" i="75" a="1"/>
  <c r="F4" i="75" s="1"/>
  <c r="D4" i="75" a="1"/>
  <c r="D4" i="75" s="1"/>
  <c r="B42" i="74" a="1"/>
  <c r="B42" i="74" s="1"/>
  <c r="B41" i="74" a="1"/>
  <c r="B41" i="74" s="1"/>
  <c r="B40" i="74" a="1"/>
  <c r="B40" i="74" s="1"/>
  <c r="B39" i="74" a="1"/>
  <c r="B39" i="74" s="1"/>
  <c r="B38" i="74" a="1"/>
  <c r="B38" i="74" s="1"/>
  <c r="B37" i="74" a="1"/>
  <c r="B37" i="74" s="1"/>
  <c r="B36" i="74" a="1"/>
  <c r="B36" i="74" s="1"/>
  <c r="B35" i="74" a="1"/>
  <c r="B35" i="74" s="1"/>
  <c r="B34" i="74" a="1"/>
  <c r="B34" i="74" s="1"/>
  <c r="B33" i="74" a="1"/>
  <c r="B33" i="74" s="1"/>
  <c r="B32" i="74" a="1"/>
  <c r="B32" i="74" s="1"/>
  <c r="B31" i="74" a="1"/>
  <c r="B31" i="74" s="1"/>
  <c r="B30" i="74" a="1"/>
  <c r="B30" i="74" s="1"/>
  <c r="B29" i="74" a="1"/>
  <c r="B29" i="74" s="1"/>
  <c r="B28" i="74" a="1"/>
  <c r="B28" i="74" s="1"/>
  <c r="B27" i="74" a="1"/>
  <c r="B27" i="74" s="1"/>
  <c r="B26" i="74" a="1"/>
  <c r="B26" i="74" s="1"/>
  <c r="B25" i="74" a="1"/>
  <c r="B25" i="74" s="1"/>
  <c r="B24" i="74" a="1"/>
  <c r="B24" i="74" s="1"/>
  <c r="B23" i="74" a="1"/>
  <c r="B23" i="74" s="1"/>
  <c r="B22" i="74" a="1"/>
  <c r="B22" i="74" s="1"/>
  <c r="B21" i="74" a="1"/>
  <c r="B21" i="74" s="1"/>
  <c r="B20" i="74" a="1"/>
  <c r="B20" i="74" s="1"/>
  <c r="B19" i="74" a="1"/>
  <c r="B19" i="74" s="1"/>
  <c r="B18" i="74" a="1"/>
  <c r="B18" i="74" s="1"/>
  <c r="B17" i="74" a="1"/>
  <c r="B17" i="74" s="1"/>
  <c r="B16" i="74" a="1"/>
  <c r="B16" i="74" s="1"/>
  <c r="B15" i="74" a="1"/>
  <c r="B15" i="74" s="1"/>
  <c r="B14" i="74" a="1"/>
  <c r="B14" i="74" s="1"/>
  <c r="B13" i="74" a="1"/>
  <c r="B13" i="74" s="1"/>
  <c r="B12" i="74" a="1"/>
  <c r="B12" i="74" s="1"/>
  <c r="B11" i="74" a="1"/>
  <c r="B11" i="74" s="1"/>
  <c r="B10" i="74" a="1"/>
  <c r="B10" i="74" s="1"/>
  <c r="B9" i="74"/>
  <c r="B5" i="74"/>
  <c r="B4" i="74"/>
  <c r="B3" i="74"/>
  <c r="S47" i="73"/>
  <c r="N47" i="73"/>
  <c r="L47" i="73"/>
  <c r="J47" i="73"/>
  <c r="H47" i="73"/>
  <c r="F47" i="73"/>
  <c r="D47" i="73"/>
  <c r="S46" i="73"/>
  <c r="N46" i="73"/>
  <c r="L46" i="73"/>
  <c r="J46" i="73"/>
  <c r="H46" i="73"/>
  <c r="F46" i="73"/>
  <c r="D46" i="73"/>
  <c r="S45" i="73"/>
  <c r="N45" i="73"/>
  <c r="L45" i="73"/>
  <c r="J45" i="73"/>
  <c r="H45" i="73"/>
  <c r="F45" i="73"/>
  <c r="D45" i="73"/>
  <c r="S44" i="73"/>
  <c r="N44" i="73"/>
  <c r="L44" i="73"/>
  <c r="J44" i="73"/>
  <c r="H44" i="73"/>
  <c r="F44" i="73"/>
  <c r="D44" i="73"/>
  <c r="S43" i="73"/>
  <c r="N43" i="73"/>
  <c r="L43" i="73"/>
  <c r="J43" i="73"/>
  <c r="H43" i="73"/>
  <c r="F43" i="73"/>
  <c r="D43" i="73"/>
  <c r="S42" i="73"/>
  <c r="N42" i="73"/>
  <c r="L42" i="73"/>
  <c r="J42" i="73"/>
  <c r="H42" i="73"/>
  <c r="F42" i="73"/>
  <c r="D42" i="73"/>
  <c r="S41" i="73"/>
  <c r="N41" i="73"/>
  <c r="L41" i="73"/>
  <c r="J41" i="73"/>
  <c r="H41" i="73"/>
  <c r="F41" i="73"/>
  <c r="D41" i="73"/>
  <c r="S40" i="73"/>
  <c r="N40" i="73"/>
  <c r="L40" i="73"/>
  <c r="J40" i="73"/>
  <c r="H40" i="73"/>
  <c r="F40" i="73"/>
  <c r="D40" i="73"/>
  <c r="S39" i="73"/>
  <c r="N39" i="73"/>
  <c r="L39" i="73"/>
  <c r="J39" i="73"/>
  <c r="H39" i="73"/>
  <c r="F39" i="73"/>
  <c r="D39" i="73"/>
  <c r="S38" i="73"/>
  <c r="N38" i="73"/>
  <c r="L38" i="73"/>
  <c r="J38" i="73"/>
  <c r="H38" i="73"/>
  <c r="F38" i="73"/>
  <c r="D38" i="73"/>
  <c r="S37" i="73"/>
  <c r="N37" i="73"/>
  <c r="L37" i="73"/>
  <c r="J37" i="73"/>
  <c r="H37" i="73"/>
  <c r="F37" i="73"/>
  <c r="D37" i="73"/>
  <c r="S36" i="73"/>
  <c r="N36" i="73"/>
  <c r="L36" i="73"/>
  <c r="J36" i="73"/>
  <c r="H36" i="73"/>
  <c r="F36" i="73"/>
  <c r="D36" i="73"/>
  <c r="S35" i="73"/>
  <c r="N35" i="73"/>
  <c r="L35" i="73"/>
  <c r="J35" i="73"/>
  <c r="H35" i="73"/>
  <c r="F35" i="73"/>
  <c r="D35" i="73"/>
  <c r="S34" i="73"/>
  <c r="N34" i="73"/>
  <c r="L34" i="73"/>
  <c r="H34" i="73"/>
  <c r="F34" i="73"/>
  <c r="D34" i="73"/>
  <c r="S33" i="73"/>
  <c r="N33" i="73"/>
  <c r="L33" i="73"/>
  <c r="H33" i="73"/>
  <c r="F33" i="73"/>
  <c r="D33" i="73"/>
  <c r="S32" i="73"/>
  <c r="N32" i="73"/>
  <c r="L32" i="73"/>
  <c r="H32" i="73"/>
  <c r="F32" i="73"/>
  <c r="D32" i="73"/>
  <c r="S31" i="73"/>
  <c r="N31" i="73"/>
  <c r="L31" i="73"/>
  <c r="H31" i="73"/>
  <c r="F31" i="73"/>
  <c r="D31" i="73"/>
  <c r="S30" i="73"/>
  <c r="N30" i="73"/>
  <c r="L30" i="73"/>
  <c r="H30" i="73"/>
  <c r="F30" i="73"/>
  <c r="D30" i="73"/>
  <c r="S29" i="73"/>
  <c r="N29" i="73"/>
  <c r="L29" i="73"/>
  <c r="H29" i="73"/>
  <c r="F29" i="73"/>
  <c r="D29" i="73"/>
  <c r="S28" i="73"/>
  <c r="N28" i="73"/>
  <c r="L28" i="73"/>
  <c r="H28" i="73"/>
  <c r="F28" i="73"/>
  <c r="D28" i="73"/>
  <c r="S27" i="73"/>
  <c r="N27" i="73"/>
  <c r="L27" i="73"/>
  <c r="H27" i="73"/>
  <c r="F27" i="73"/>
  <c r="D27" i="73"/>
  <c r="S26" i="73"/>
  <c r="N26" i="73"/>
  <c r="L26" i="73"/>
  <c r="H26" i="73"/>
  <c r="F26" i="73"/>
  <c r="D26" i="73"/>
  <c r="S25" i="73"/>
  <c r="N25" i="73"/>
  <c r="L25" i="73"/>
  <c r="H25" i="73"/>
  <c r="F25" i="73"/>
  <c r="D25" i="73"/>
  <c r="S24" i="73"/>
  <c r="N24" i="73"/>
  <c r="L24" i="73"/>
  <c r="H24" i="73"/>
  <c r="F24" i="73"/>
  <c r="D24" i="73"/>
  <c r="S23" i="73"/>
  <c r="N23" i="73"/>
  <c r="L23" i="73"/>
  <c r="H23" i="73"/>
  <c r="F23" i="73"/>
  <c r="D23" i="73"/>
  <c r="S22" i="73"/>
  <c r="N22" i="73"/>
  <c r="L22" i="73"/>
  <c r="H22" i="73"/>
  <c r="F22" i="73"/>
  <c r="D22" i="73"/>
  <c r="S21" i="73"/>
  <c r="N21" i="73"/>
  <c r="L21" i="73"/>
  <c r="H21" i="73"/>
  <c r="F21" i="73"/>
  <c r="D21" i="73"/>
  <c r="S20" i="73"/>
  <c r="N20" i="73"/>
  <c r="L20" i="73"/>
  <c r="H20" i="73"/>
  <c r="F20" i="73"/>
  <c r="D20" i="73"/>
  <c r="S19" i="73"/>
  <c r="N19" i="73"/>
  <c r="L19" i="73"/>
  <c r="H19" i="73"/>
  <c r="F19" i="73"/>
  <c r="D19" i="73"/>
  <c r="S18" i="73"/>
  <c r="N18" i="73"/>
  <c r="L18" i="73"/>
  <c r="H18" i="73"/>
  <c r="F18" i="73"/>
  <c r="D18" i="73"/>
  <c r="S17" i="73"/>
  <c r="N17" i="73"/>
  <c r="L17" i="73"/>
  <c r="H17" i="73"/>
  <c r="F17" i="73"/>
  <c r="D17" i="73"/>
  <c r="S16" i="73"/>
  <c r="N16" i="73"/>
  <c r="L16" i="73"/>
  <c r="H16" i="73"/>
  <c r="F16" i="73"/>
  <c r="D16" i="73"/>
  <c r="S15" i="73"/>
  <c r="N15" i="73"/>
  <c r="L15" i="73"/>
  <c r="H15" i="73"/>
  <c r="F15" i="73"/>
  <c r="D15" i="73"/>
  <c r="S14" i="73"/>
  <c r="N14" i="73"/>
  <c r="L14" i="73"/>
  <c r="H14" i="73"/>
  <c r="F14" i="73"/>
  <c r="D14" i="73"/>
  <c r="S13" i="73"/>
  <c r="N13" i="73"/>
  <c r="L13" i="73"/>
  <c r="H13" i="73"/>
  <c r="F13" i="73"/>
  <c r="D13" i="73"/>
  <c r="A13" i="73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S12" i="73"/>
  <c r="N12" i="73"/>
  <c r="L12" i="73"/>
  <c r="H12" i="73"/>
  <c r="F12" i="73"/>
  <c r="D12" i="73"/>
  <c r="O5" i="73"/>
  <c r="N4" i="73"/>
  <c r="N4" i="73" a="1"/>
  <c r="L4" i="73" a="1"/>
  <c r="L4" i="73" s="1"/>
  <c r="J4" i="73" a="1"/>
  <c r="J4" i="73" s="1"/>
  <c r="H4" i="73" a="1"/>
  <c r="H4" i="73" s="1"/>
  <c r="F4" i="73" a="1"/>
  <c r="F4" i="73" s="1"/>
  <c r="D4" i="73" a="1"/>
  <c r="D4" i="73" s="1"/>
  <c r="B42" i="72" a="1"/>
  <c r="B42" i="72" s="1"/>
  <c r="B41" i="72" a="1"/>
  <c r="B41" i="72" s="1"/>
  <c r="B40" i="72" a="1"/>
  <c r="B40" i="72" s="1"/>
  <c r="B39" i="72" a="1"/>
  <c r="B39" i="72" s="1"/>
  <c r="B38" i="72" a="1"/>
  <c r="B38" i="72" s="1"/>
  <c r="B37" i="72" a="1"/>
  <c r="B37" i="72" s="1"/>
  <c r="B36" i="72" a="1"/>
  <c r="B36" i="72" s="1"/>
  <c r="B35" i="72" a="1"/>
  <c r="B35" i="72" s="1"/>
  <c r="B34" i="72" a="1"/>
  <c r="B34" i="72" s="1"/>
  <c r="B33" i="72" a="1"/>
  <c r="B33" i="72" s="1"/>
  <c r="B32" i="72" a="1"/>
  <c r="B32" i="72" s="1"/>
  <c r="B31" i="72" a="1"/>
  <c r="B31" i="72" s="1"/>
  <c r="B30" i="72" a="1"/>
  <c r="B30" i="72" s="1"/>
  <c r="B29" i="72" a="1"/>
  <c r="B29" i="72" s="1"/>
  <c r="B28" i="72" a="1"/>
  <c r="B28" i="72" s="1"/>
  <c r="B27" i="72" a="1"/>
  <c r="B27" i="72" s="1"/>
  <c r="B26" i="72" a="1"/>
  <c r="B26" i="72" s="1"/>
  <c r="B25" i="72" a="1"/>
  <c r="B25" i="72" s="1"/>
  <c r="B24" i="72" a="1"/>
  <c r="B24" i="72" s="1"/>
  <c r="B23" i="72" a="1"/>
  <c r="B23" i="72" s="1"/>
  <c r="B22" i="72" a="1"/>
  <c r="B22" i="72" s="1"/>
  <c r="B21" i="72" a="1"/>
  <c r="B21" i="72" s="1"/>
  <c r="B20" i="72" a="1"/>
  <c r="B20" i="72" s="1"/>
  <c r="B19" i="72" a="1"/>
  <c r="B19" i="72" s="1"/>
  <c r="B18" i="72" a="1"/>
  <c r="B18" i="72" s="1"/>
  <c r="B17" i="72" a="1"/>
  <c r="B17" i="72" s="1"/>
  <c r="B16" i="72" a="1"/>
  <c r="B16" i="72" s="1"/>
  <c r="B15" i="72" a="1"/>
  <c r="B15" i="72" s="1"/>
  <c r="B14" i="72" a="1"/>
  <c r="B14" i="72" s="1"/>
  <c r="B13" i="72" a="1"/>
  <c r="B13" i="72" s="1"/>
  <c r="B12" i="72" a="1"/>
  <c r="B12" i="72" s="1"/>
  <c r="B11" i="72" a="1"/>
  <c r="B11" i="72" s="1"/>
  <c r="B10" i="72" a="1"/>
  <c r="B10" i="72" s="1"/>
  <c r="B9" i="72"/>
  <c r="B5" i="72"/>
  <c r="B4" i="72"/>
  <c r="B3" i="72"/>
  <c r="S47" i="71"/>
  <c r="S46" i="71"/>
  <c r="N46" i="71"/>
  <c r="L46" i="71"/>
  <c r="J46" i="71"/>
  <c r="H46" i="71"/>
  <c r="F46" i="71"/>
  <c r="D46" i="71"/>
  <c r="S45" i="71"/>
  <c r="N45" i="71"/>
  <c r="L45" i="71"/>
  <c r="J45" i="71"/>
  <c r="H45" i="71"/>
  <c r="F45" i="71"/>
  <c r="D45" i="71"/>
  <c r="S44" i="71"/>
  <c r="N44" i="71"/>
  <c r="L44" i="71"/>
  <c r="J44" i="71"/>
  <c r="H44" i="71"/>
  <c r="F44" i="71"/>
  <c r="D44" i="71"/>
  <c r="S43" i="71"/>
  <c r="N43" i="71"/>
  <c r="L43" i="71"/>
  <c r="J43" i="71"/>
  <c r="H43" i="71"/>
  <c r="F43" i="71"/>
  <c r="D43" i="71"/>
  <c r="S42" i="71"/>
  <c r="N42" i="71"/>
  <c r="L42" i="71"/>
  <c r="J42" i="71"/>
  <c r="H42" i="71"/>
  <c r="F42" i="71"/>
  <c r="D42" i="71"/>
  <c r="S41" i="71"/>
  <c r="N41" i="71"/>
  <c r="L41" i="71"/>
  <c r="J41" i="71"/>
  <c r="H41" i="71"/>
  <c r="F41" i="71"/>
  <c r="D41" i="71"/>
  <c r="S40" i="71"/>
  <c r="N40" i="71"/>
  <c r="L40" i="71"/>
  <c r="J40" i="71"/>
  <c r="H40" i="71"/>
  <c r="F40" i="71"/>
  <c r="D40" i="71"/>
  <c r="S39" i="71"/>
  <c r="N39" i="71"/>
  <c r="L39" i="71"/>
  <c r="J39" i="71"/>
  <c r="H39" i="71"/>
  <c r="F39" i="71"/>
  <c r="D39" i="71"/>
  <c r="S38" i="71"/>
  <c r="N38" i="71"/>
  <c r="L38" i="71"/>
  <c r="J38" i="71"/>
  <c r="H38" i="71"/>
  <c r="F38" i="71"/>
  <c r="D38" i="71"/>
  <c r="S37" i="71"/>
  <c r="N37" i="71"/>
  <c r="L37" i="71"/>
  <c r="J37" i="71"/>
  <c r="H37" i="71"/>
  <c r="F37" i="71"/>
  <c r="D37" i="71"/>
  <c r="S36" i="71"/>
  <c r="N36" i="71"/>
  <c r="L36" i="71"/>
  <c r="J36" i="71"/>
  <c r="H36" i="71"/>
  <c r="F36" i="71"/>
  <c r="D36" i="71"/>
  <c r="S35" i="71"/>
  <c r="N35" i="71"/>
  <c r="L35" i="71"/>
  <c r="J35" i="71"/>
  <c r="H35" i="71"/>
  <c r="F35" i="71"/>
  <c r="D35" i="71"/>
  <c r="S34" i="71"/>
  <c r="N34" i="71"/>
  <c r="L34" i="71"/>
  <c r="H34" i="71"/>
  <c r="F34" i="71"/>
  <c r="D34" i="71"/>
  <c r="S33" i="71"/>
  <c r="N33" i="71"/>
  <c r="L33" i="71"/>
  <c r="H33" i="71"/>
  <c r="F33" i="71"/>
  <c r="D33" i="71"/>
  <c r="S32" i="71"/>
  <c r="N32" i="71"/>
  <c r="L32" i="71"/>
  <c r="H32" i="71"/>
  <c r="F32" i="71"/>
  <c r="D32" i="71"/>
  <c r="S31" i="71"/>
  <c r="N31" i="71"/>
  <c r="L31" i="71"/>
  <c r="H31" i="71"/>
  <c r="F31" i="71"/>
  <c r="D31" i="71"/>
  <c r="S30" i="71"/>
  <c r="N30" i="71"/>
  <c r="L30" i="71"/>
  <c r="H30" i="71"/>
  <c r="F30" i="71"/>
  <c r="D30" i="71"/>
  <c r="S29" i="71"/>
  <c r="N29" i="71"/>
  <c r="L29" i="71"/>
  <c r="H29" i="71"/>
  <c r="F29" i="71"/>
  <c r="D29" i="71"/>
  <c r="S28" i="71"/>
  <c r="N28" i="71"/>
  <c r="L28" i="71"/>
  <c r="H28" i="71"/>
  <c r="F28" i="71"/>
  <c r="D28" i="71"/>
  <c r="S27" i="71"/>
  <c r="N27" i="71"/>
  <c r="L27" i="71"/>
  <c r="H27" i="71"/>
  <c r="F27" i="71"/>
  <c r="D27" i="71"/>
  <c r="S26" i="71"/>
  <c r="N26" i="71"/>
  <c r="L26" i="71"/>
  <c r="H26" i="71"/>
  <c r="F26" i="71"/>
  <c r="D26" i="71"/>
  <c r="S25" i="71"/>
  <c r="N25" i="71"/>
  <c r="L25" i="71"/>
  <c r="H25" i="71"/>
  <c r="F25" i="71"/>
  <c r="D25" i="71"/>
  <c r="S24" i="71"/>
  <c r="N24" i="71"/>
  <c r="L24" i="71"/>
  <c r="H24" i="71"/>
  <c r="F24" i="71"/>
  <c r="D24" i="71"/>
  <c r="S23" i="71"/>
  <c r="N23" i="71"/>
  <c r="L23" i="71"/>
  <c r="H23" i="71"/>
  <c r="F23" i="71"/>
  <c r="D23" i="71"/>
  <c r="S22" i="71"/>
  <c r="N22" i="71"/>
  <c r="L22" i="71"/>
  <c r="H22" i="71"/>
  <c r="F22" i="71"/>
  <c r="D22" i="71"/>
  <c r="S21" i="71"/>
  <c r="N21" i="71"/>
  <c r="L21" i="71"/>
  <c r="H21" i="71"/>
  <c r="F21" i="71"/>
  <c r="D21" i="71"/>
  <c r="S20" i="71"/>
  <c r="N20" i="71"/>
  <c r="L20" i="71"/>
  <c r="H20" i="71"/>
  <c r="F20" i="71"/>
  <c r="D20" i="71"/>
  <c r="S19" i="71"/>
  <c r="N19" i="71"/>
  <c r="L19" i="71"/>
  <c r="H19" i="71"/>
  <c r="F19" i="71"/>
  <c r="D19" i="71"/>
  <c r="S18" i="71"/>
  <c r="N18" i="71"/>
  <c r="L18" i="71"/>
  <c r="H18" i="71"/>
  <c r="F18" i="71"/>
  <c r="D18" i="71"/>
  <c r="S17" i="71"/>
  <c r="N17" i="71"/>
  <c r="L17" i="71"/>
  <c r="H17" i="71"/>
  <c r="F17" i="71"/>
  <c r="D17" i="71"/>
  <c r="S16" i="71"/>
  <c r="N16" i="71"/>
  <c r="L16" i="71"/>
  <c r="H16" i="71"/>
  <c r="F16" i="71"/>
  <c r="D16" i="71"/>
  <c r="S15" i="71"/>
  <c r="N15" i="71"/>
  <c r="L15" i="71"/>
  <c r="F15" i="71"/>
  <c r="D15" i="71"/>
  <c r="S14" i="71"/>
  <c r="N14" i="71"/>
  <c r="L14" i="71"/>
  <c r="H14" i="71"/>
  <c r="F14" i="71"/>
  <c r="D14" i="71"/>
  <c r="S13" i="71"/>
  <c r="N13" i="71"/>
  <c r="L13" i="71"/>
  <c r="H13" i="71"/>
  <c r="F13" i="71"/>
  <c r="D13" i="71"/>
  <c r="A13" i="7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S12" i="71"/>
  <c r="N12" i="71"/>
  <c r="L12" i="71"/>
  <c r="H12" i="71"/>
  <c r="F12" i="71"/>
  <c r="D12" i="71"/>
  <c r="O5" i="71"/>
  <c r="N4" i="71" a="1"/>
  <c r="N4" i="71" s="1"/>
  <c r="L4" i="71" a="1"/>
  <c r="L4" i="71" s="1"/>
  <c r="J4" i="71" a="1"/>
  <c r="J4" i="71" s="1"/>
  <c r="H4" i="71" a="1"/>
  <c r="H4" i="71" s="1"/>
  <c r="F4" i="71" a="1"/>
  <c r="F4" i="71" s="1"/>
  <c r="D4" i="71" a="1"/>
  <c r="D4" i="71" s="1"/>
  <c r="H14" i="55"/>
  <c r="B5" i="62"/>
  <c r="B4" i="62"/>
  <c r="B3" i="62"/>
  <c r="O13" i="75" l="1"/>
  <c r="T13" i="75" s="1"/>
  <c r="U13" i="75" s="1"/>
  <c r="O41" i="71"/>
  <c r="T41" i="71" s="1"/>
  <c r="U41" i="71" s="1"/>
  <c r="O40" i="71"/>
  <c r="T40" i="71" s="1"/>
  <c r="U40" i="71" s="1"/>
  <c r="O27" i="71"/>
  <c r="O39" i="71"/>
  <c r="T39" i="71" s="1"/>
  <c r="U39" i="71" s="1"/>
  <c r="O14" i="75"/>
  <c r="T14" i="75" s="1"/>
  <c r="U14" i="75" s="1"/>
  <c r="O43" i="77"/>
  <c r="T43" i="77" s="1"/>
  <c r="U43" i="77" s="1"/>
  <c r="O24" i="73"/>
  <c r="T24" i="73" s="1"/>
  <c r="U24" i="73" s="1"/>
  <c r="O21" i="73"/>
  <c r="T21" i="73" s="1"/>
  <c r="U21" i="73" s="1"/>
  <c r="O45" i="73"/>
  <c r="T45" i="73" s="1"/>
  <c r="U45" i="73" s="1"/>
  <c r="O41" i="73"/>
  <c r="T41" i="73" s="1"/>
  <c r="U41" i="73" s="1"/>
  <c r="O42" i="73"/>
  <c r="T42" i="73" s="1"/>
  <c r="U42" i="73" s="1"/>
  <c r="O43" i="73"/>
  <c r="T43" i="73" s="1"/>
  <c r="U43" i="73" s="1"/>
  <c r="O44" i="73"/>
  <c r="T44" i="73" s="1"/>
  <c r="U44" i="73" s="1"/>
  <c r="O47" i="71"/>
  <c r="T47" i="71" s="1"/>
  <c r="U47" i="71" s="1"/>
  <c r="O47" i="73"/>
  <c r="T47" i="73" s="1"/>
  <c r="U47" i="73" s="1"/>
  <c r="O16" i="75"/>
  <c r="T16" i="75" s="1"/>
  <c r="U16" i="75" s="1"/>
  <c r="O23" i="73"/>
  <c r="T23" i="73" s="1"/>
  <c r="U23" i="73" s="1"/>
  <c r="O33" i="75"/>
  <c r="O25" i="71"/>
  <c r="T25" i="71" s="1"/>
  <c r="U25" i="71" s="1"/>
  <c r="O28" i="71"/>
  <c r="T28" i="71" s="1"/>
  <c r="U28" i="71" s="1"/>
  <c r="O19" i="75"/>
  <c r="T19" i="75" s="1"/>
  <c r="U19" i="75" s="1"/>
  <c r="O22" i="77"/>
  <c r="T22" i="77" s="1"/>
  <c r="U22" i="77" s="1"/>
  <c r="O37" i="73"/>
  <c r="T37" i="73" s="1"/>
  <c r="U37" i="73" s="1"/>
  <c r="O38" i="73"/>
  <c r="T38" i="73" s="1"/>
  <c r="U38" i="73" s="1"/>
  <c r="O39" i="73"/>
  <c r="T39" i="73" s="1"/>
  <c r="U39" i="73" s="1"/>
  <c r="O40" i="73"/>
  <c r="T40" i="73" s="1"/>
  <c r="U40" i="73" s="1"/>
  <c r="O22" i="73"/>
  <c r="T22" i="73" s="1"/>
  <c r="U22" i="73" s="1"/>
  <c r="O44" i="71"/>
  <c r="T44" i="71" s="1"/>
  <c r="U44" i="71" s="1"/>
  <c r="O45" i="71"/>
  <c r="T45" i="71" s="1"/>
  <c r="U45" i="71" s="1"/>
  <c r="O46" i="71"/>
  <c r="T46" i="71" s="1"/>
  <c r="U46" i="71" s="1"/>
  <c r="O46" i="73"/>
  <c r="T46" i="73" s="1"/>
  <c r="U46" i="73" s="1"/>
  <c r="O43" i="75"/>
  <c r="T43" i="75" s="1"/>
  <c r="U43" i="75" s="1"/>
  <c r="O42" i="71"/>
  <c r="T42" i="71" s="1"/>
  <c r="U42" i="71" s="1"/>
  <c r="O43" i="71"/>
  <c r="T43" i="71" s="1"/>
  <c r="U43" i="71" s="1"/>
  <c r="O40" i="75"/>
  <c r="T40" i="75" s="1"/>
  <c r="U40" i="75" s="1"/>
  <c r="O34" i="71"/>
  <c r="T34" i="71" s="1"/>
  <c r="U34" i="71" s="1"/>
  <c r="O27" i="77"/>
  <c r="O14" i="71"/>
  <c r="T14" i="71" s="1"/>
  <c r="U14" i="71" s="1"/>
  <c r="O30" i="71"/>
  <c r="T30" i="71" s="1"/>
  <c r="U30" i="71" s="1"/>
  <c r="O33" i="71"/>
  <c r="T33" i="71" s="1"/>
  <c r="U33" i="71" s="1"/>
  <c r="O12" i="75"/>
  <c r="T12" i="75" s="1"/>
  <c r="U12" i="75" s="1"/>
  <c r="O20" i="71"/>
  <c r="T20" i="71" s="1"/>
  <c r="U20" i="71" s="1"/>
  <c r="O22" i="71"/>
  <c r="T22" i="71" s="1"/>
  <c r="U22" i="71" s="1"/>
  <c r="O36" i="71"/>
  <c r="T36" i="71" s="1"/>
  <c r="U36" i="71" s="1"/>
  <c r="O37" i="71"/>
  <c r="T37" i="71" s="1"/>
  <c r="U37" i="71" s="1"/>
  <c r="O38" i="71"/>
  <c r="T38" i="71" s="1"/>
  <c r="U38" i="71" s="1"/>
  <c r="O35" i="71"/>
  <c r="T35" i="71" s="1"/>
  <c r="U35" i="71" s="1"/>
  <c r="O12" i="71"/>
  <c r="T12" i="71" s="1"/>
  <c r="U12" i="71" s="1"/>
  <c r="O17" i="71"/>
  <c r="T17" i="71" s="1"/>
  <c r="U17" i="71" s="1"/>
  <c r="O19" i="71"/>
  <c r="T19" i="71" s="1"/>
  <c r="U19" i="71" s="1"/>
  <c r="O17" i="73"/>
  <c r="T17" i="73" s="1"/>
  <c r="U17" i="73" s="1"/>
  <c r="O18" i="73"/>
  <c r="T18" i="73" s="1"/>
  <c r="U18" i="73" s="1"/>
  <c r="O19" i="73"/>
  <c r="T19" i="73" s="1"/>
  <c r="U19" i="73" s="1"/>
  <c r="O20" i="73"/>
  <c r="T20" i="73" s="1"/>
  <c r="U20" i="73" s="1"/>
  <c r="O33" i="73"/>
  <c r="T33" i="73" s="1"/>
  <c r="U33" i="73" s="1"/>
  <c r="O34" i="73"/>
  <c r="T34" i="73" s="1"/>
  <c r="U34" i="73" s="1"/>
  <c r="O35" i="73"/>
  <c r="T35" i="73" s="1"/>
  <c r="U35" i="73" s="1"/>
  <c r="O36" i="73"/>
  <c r="T36" i="73" s="1"/>
  <c r="U36" i="73" s="1"/>
  <c r="O15" i="75"/>
  <c r="T15" i="75" s="1"/>
  <c r="U15" i="75" s="1"/>
  <c r="O32" i="75"/>
  <c r="T32" i="75" s="1"/>
  <c r="U32" i="75" s="1"/>
  <c r="O12" i="73"/>
  <c r="T12" i="73" s="1"/>
  <c r="U12" i="73" s="1"/>
  <c r="O13" i="73"/>
  <c r="T13" i="73" s="1"/>
  <c r="U13" i="73" s="1"/>
  <c r="O14" i="73"/>
  <c r="T14" i="73" s="1"/>
  <c r="U14" i="73" s="1"/>
  <c r="O15" i="73"/>
  <c r="T15" i="73" s="1"/>
  <c r="U15" i="73" s="1"/>
  <c r="O16" i="73"/>
  <c r="T16" i="73" s="1"/>
  <c r="U16" i="73" s="1"/>
  <c r="O29" i="73"/>
  <c r="T29" i="73" s="1"/>
  <c r="U29" i="73" s="1"/>
  <c r="O30" i="73"/>
  <c r="T30" i="73" s="1"/>
  <c r="U30" i="73" s="1"/>
  <c r="O31" i="73"/>
  <c r="T31" i="73" s="1"/>
  <c r="U31" i="73" s="1"/>
  <c r="O32" i="73"/>
  <c r="T32" i="73" s="1"/>
  <c r="U32" i="73" s="1"/>
  <c r="O17" i="75"/>
  <c r="T17" i="75" s="1"/>
  <c r="U17" i="75" s="1"/>
  <c r="O18" i="75"/>
  <c r="T18" i="75" s="1"/>
  <c r="U18" i="75" s="1"/>
  <c r="O27" i="75"/>
  <c r="T27" i="75" s="1"/>
  <c r="U27" i="75" s="1"/>
  <c r="O25" i="73"/>
  <c r="T25" i="73" s="1"/>
  <c r="U25" i="73" s="1"/>
  <c r="O26" i="73"/>
  <c r="T26" i="73" s="1"/>
  <c r="U26" i="73" s="1"/>
  <c r="O27" i="73"/>
  <c r="T27" i="73" s="1"/>
  <c r="U27" i="73" s="1"/>
  <c r="O28" i="73"/>
  <c r="T28" i="73" s="1"/>
  <c r="U28" i="73" s="1"/>
  <c r="O20" i="75"/>
  <c r="T20" i="75" s="1"/>
  <c r="U20" i="75" s="1"/>
  <c r="O21" i="75"/>
  <c r="T21" i="75" s="1"/>
  <c r="U21" i="75" s="1"/>
  <c r="O22" i="75"/>
  <c r="T22" i="75" s="1"/>
  <c r="U22" i="75" s="1"/>
  <c r="O23" i="75"/>
  <c r="T23" i="75" s="1"/>
  <c r="U23" i="75" s="1"/>
  <c r="O24" i="75"/>
  <c r="T24" i="75" s="1"/>
  <c r="U24" i="75" s="1"/>
  <c r="O38" i="75"/>
  <c r="T38" i="75" s="1"/>
  <c r="U38" i="75" s="1"/>
  <c r="O38" i="77"/>
  <c r="T38" i="77" s="1"/>
  <c r="U38" i="77" s="1"/>
  <c r="O17" i="77"/>
  <c r="T17" i="77" s="1"/>
  <c r="U17" i="77" s="1"/>
  <c r="O33" i="77"/>
  <c r="T33" i="77" s="1"/>
  <c r="U33" i="77" s="1"/>
  <c r="O16" i="77"/>
  <c r="T16" i="77" s="1"/>
  <c r="U16" i="77" s="1"/>
  <c r="O32" i="77"/>
  <c r="T32" i="77" s="1"/>
  <c r="U32" i="77" s="1"/>
  <c r="O28" i="75"/>
  <c r="T28" i="75" s="1"/>
  <c r="U28" i="75" s="1"/>
  <c r="O29" i="75"/>
  <c r="T29" i="75" s="1"/>
  <c r="U29" i="75" s="1"/>
  <c r="O34" i="75"/>
  <c r="T34" i="75" s="1"/>
  <c r="U34" i="75" s="1"/>
  <c r="O39" i="75"/>
  <c r="T39" i="75" s="1"/>
  <c r="U39" i="75" s="1"/>
  <c r="O44" i="75"/>
  <c r="T44" i="75" s="1"/>
  <c r="U44" i="75" s="1"/>
  <c r="O45" i="75"/>
  <c r="T45" i="75" s="1"/>
  <c r="U45" i="75" s="1"/>
  <c r="O47" i="75"/>
  <c r="T47" i="75" s="1"/>
  <c r="U47" i="75" s="1"/>
  <c r="O12" i="77"/>
  <c r="T12" i="77" s="1"/>
  <c r="U12" i="77" s="1"/>
  <c r="O13" i="77"/>
  <c r="T13" i="77" s="1"/>
  <c r="U13" i="77" s="1"/>
  <c r="O18" i="77"/>
  <c r="T18" i="77" s="1"/>
  <c r="U18" i="77" s="1"/>
  <c r="O23" i="77"/>
  <c r="T23" i="77" s="1"/>
  <c r="U23" i="77" s="1"/>
  <c r="O28" i="77"/>
  <c r="T28" i="77" s="1"/>
  <c r="U28" i="77" s="1"/>
  <c r="O29" i="77"/>
  <c r="T29" i="77" s="1"/>
  <c r="U29" i="77" s="1"/>
  <c r="O34" i="77"/>
  <c r="T34" i="77" s="1"/>
  <c r="U34" i="77" s="1"/>
  <c r="O39" i="77"/>
  <c r="T39" i="77" s="1"/>
  <c r="U39" i="77" s="1"/>
  <c r="O44" i="77"/>
  <c r="T44" i="77" s="1"/>
  <c r="U44" i="77" s="1"/>
  <c r="O45" i="77"/>
  <c r="T45" i="77" s="1"/>
  <c r="U45" i="77" s="1"/>
  <c r="O47" i="77"/>
  <c r="T47" i="77" s="1"/>
  <c r="U47" i="77" s="1"/>
  <c r="T27" i="77"/>
  <c r="U27" i="77" s="1"/>
  <c r="O25" i="75"/>
  <c r="T25" i="75" s="1"/>
  <c r="U25" i="75" s="1"/>
  <c r="O30" i="75"/>
  <c r="T30" i="75" s="1"/>
  <c r="U30" i="75" s="1"/>
  <c r="O35" i="75"/>
  <c r="T35" i="75" s="1"/>
  <c r="U35" i="75" s="1"/>
  <c r="O41" i="75"/>
  <c r="T41" i="75" s="1"/>
  <c r="U41" i="75" s="1"/>
  <c r="O46" i="75"/>
  <c r="T46" i="75" s="1"/>
  <c r="U46" i="75" s="1"/>
  <c r="O14" i="77"/>
  <c r="T14" i="77" s="1"/>
  <c r="U14" i="77" s="1"/>
  <c r="O19" i="77"/>
  <c r="T19" i="77" s="1"/>
  <c r="U19" i="77" s="1"/>
  <c r="O24" i="77"/>
  <c r="T24" i="77" s="1"/>
  <c r="U24" i="77" s="1"/>
  <c r="O25" i="77"/>
  <c r="T25" i="77" s="1"/>
  <c r="U25" i="77" s="1"/>
  <c r="O30" i="77"/>
  <c r="T30" i="77" s="1"/>
  <c r="U30" i="77" s="1"/>
  <c r="O35" i="77"/>
  <c r="T35" i="77" s="1"/>
  <c r="U35" i="77" s="1"/>
  <c r="O40" i="77"/>
  <c r="T40" i="77" s="1"/>
  <c r="U40" i="77" s="1"/>
  <c r="O41" i="77"/>
  <c r="T41" i="77" s="1"/>
  <c r="U41" i="77" s="1"/>
  <c r="O46" i="77"/>
  <c r="T46" i="77" s="1"/>
  <c r="U46" i="77" s="1"/>
  <c r="T33" i="75"/>
  <c r="U33" i="75" s="1"/>
  <c r="O26" i="75"/>
  <c r="T26" i="75" s="1"/>
  <c r="U26" i="75" s="1"/>
  <c r="O31" i="75"/>
  <c r="T31" i="75" s="1"/>
  <c r="U31" i="75" s="1"/>
  <c r="O36" i="75"/>
  <c r="T36" i="75" s="1"/>
  <c r="U36" i="75" s="1"/>
  <c r="O37" i="75"/>
  <c r="T37" i="75" s="1"/>
  <c r="U37" i="75" s="1"/>
  <c r="O42" i="75"/>
  <c r="T42" i="75" s="1"/>
  <c r="U42" i="75" s="1"/>
  <c r="O15" i="77"/>
  <c r="T15" i="77" s="1"/>
  <c r="U15" i="77" s="1"/>
  <c r="O20" i="77"/>
  <c r="T20" i="77" s="1"/>
  <c r="U20" i="77" s="1"/>
  <c r="O21" i="77"/>
  <c r="T21" i="77" s="1"/>
  <c r="U21" i="77" s="1"/>
  <c r="O26" i="77"/>
  <c r="T26" i="77" s="1"/>
  <c r="U26" i="77" s="1"/>
  <c r="O31" i="77"/>
  <c r="T31" i="77" s="1"/>
  <c r="U31" i="77" s="1"/>
  <c r="O36" i="77"/>
  <c r="T36" i="77" s="1"/>
  <c r="U36" i="77" s="1"/>
  <c r="O37" i="77"/>
  <c r="T37" i="77" s="1"/>
  <c r="U37" i="77" s="1"/>
  <c r="O42" i="77"/>
  <c r="T42" i="77" s="1"/>
  <c r="U42" i="77" s="1"/>
  <c r="O15" i="71"/>
  <c r="T15" i="71" s="1"/>
  <c r="U15" i="71" s="1"/>
  <c r="O16" i="71"/>
  <c r="T16" i="71" s="1"/>
  <c r="U16" i="71" s="1"/>
  <c r="O21" i="71"/>
  <c r="T21" i="71" s="1"/>
  <c r="U21" i="71" s="1"/>
  <c r="O26" i="71"/>
  <c r="T26" i="71" s="1"/>
  <c r="U26" i="71" s="1"/>
  <c r="O31" i="71"/>
  <c r="T31" i="71" s="1"/>
  <c r="U31" i="71" s="1"/>
  <c r="O32" i="71"/>
  <c r="T32" i="71" s="1"/>
  <c r="U32" i="71" s="1"/>
  <c r="T27" i="71"/>
  <c r="U27" i="71" s="1"/>
  <c r="O13" i="71"/>
  <c r="T13" i="71" s="1"/>
  <c r="U13" i="71" s="1"/>
  <c r="O18" i="71"/>
  <c r="T18" i="71" s="1"/>
  <c r="U18" i="71" s="1"/>
  <c r="O23" i="71"/>
  <c r="T23" i="71" s="1"/>
  <c r="U23" i="71" s="1"/>
  <c r="O24" i="71"/>
  <c r="T24" i="71" s="1"/>
  <c r="U24" i="71" s="1"/>
  <c r="O29" i="71"/>
  <c r="T29" i="71" s="1"/>
  <c r="U29" i="71" s="1"/>
  <c r="S12" i="55"/>
  <c r="B41" i="62" l="1" a="1"/>
  <c r="B41" i="62" s="1"/>
  <c r="B42" i="62" a="1"/>
  <c r="B42" i="62" s="1"/>
  <c r="S13" i="55" l="1"/>
  <c r="S14" i="55"/>
  <c r="S15" i="55"/>
  <c r="S16" i="55"/>
  <c r="S17" i="55"/>
  <c r="S18" i="55"/>
  <c r="S19" i="55"/>
  <c r="S20" i="55"/>
  <c r="S21" i="55"/>
  <c r="S22" i="55"/>
  <c r="S23" i="55"/>
  <c r="S24" i="55"/>
  <c r="S25" i="55"/>
  <c r="S26" i="55"/>
  <c r="S27" i="55"/>
  <c r="S28" i="55"/>
  <c r="S29" i="55"/>
  <c r="S30" i="55"/>
  <c r="S31" i="55"/>
  <c r="S32" i="55"/>
  <c r="S33" i="55"/>
  <c r="S34" i="55"/>
  <c r="S35" i="55"/>
  <c r="S36" i="55"/>
  <c r="S37" i="55"/>
  <c r="S38" i="55"/>
  <c r="S39" i="55"/>
  <c r="S40" i="55"/>
  <c r="S41" i="55"/>
  <c r="S42" i="55"/>
  <c r="S43" i="55"/>
  <c r="S44" i="55"/>
  <c r="S45" i="55"/>
  <c r="S46" i="55"/>
  <c r="S47" i="55"/>
  <c r="N12" i="55"/>
  <c r="O5" i="55"/>
  <c r="A13" i="55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D45" i="55" l="1"/>
  <c r="F45" i="55"/>
  <c r="H45" i="55"/>
  <c r="J45" i="55"/>
  <c r="L45" i="55"/>
  <c r="N45" i="55"/>
  <c r="D46" i="55"/>
  <c r="F46" i="55"/>
  <c r="H46" i="55"/>
  <c r="J46" i="55"/>
  <c r="L46" i="55"/>
  <c r="N46" i="55"/>
  <c r="D47" i="55"/>
  <c r="F47" i="55"/>
  <c r="H47" i="55"/>
  <c r="J47" i="55"/>
  <c r="L47" i="55"/>
  <c r="N47" i="55"/>
  <c r="B9" i="62"/>
  <c r="L13" i="55"/>
  <c r="N13" i="55"/>
  <c r="N14" i="55"/>
  <c r="N15" i="55"/>
  <c r="N16" i="55"/>
  <c r="N17" i="55"/>
  <c r="N18" i="55"/>
  <c r="N19" i="55"/>
  <c r="N20" i="55"/>
  <c r="N21" i="55"/>
  <c r="N22" i="55"/>
  <c r="N23" i="55"/>
  <c r="N24" i="55"/>
  <c r="N25" i="55"/>
  <c r="N26" i="55"/>
  <c r="N27" i="55"/>
  <c r="N28" i="55"/>
  <c r="N29" i="55"/>
  <c r="N30" i="55"/>
  <c r="N31" i="55"/>
  <c r="N32" i="55"/>
  <c r="N33" i="55"/>
  <c r="N34" i="55"/>
  <c r="N35" i="55"/>
  <c r="N36" i="55"/>
  <c r="N37" i="55"/>
  <c r="N38" i="55"/>
  <c r="N39" i="55"/>
  <c r="N40" i="55"/>
  <c r="N41" i="55"/>
  <c r="N42" i="55"/>
  <c r="N43" i="55"/>
  <c r="N44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12" i="55"/>
  <c r="O45" i="55" l="1"/>
  <c r="T45" i="55" s="1"/>
  <c r="U45" i="55" s="1"/>
  <c r="O46" i="55"/>
  <c r="T46" i="55" s="1"/>
  <c r="U46" i="55" s="1"/>
  <c r="O47" i="55"/>
  <c r="T47" i="55" s="1"/>
  <c r="U47" i="55" s="1"/>
  <c r="D12" i="55" l="1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1" i="55"/>
  <c r="D42" i="55"/>
  <c r="D43" i="55"/>
  <c r="D44" i="55"/>
  <c r="N4" i="55" l="1" a="1"/>
  <c r="N4" i="55" s="1"/>
  <c r="H4" i="55" a="1"/>
  <c r="H4" i="55" s="1"/>
  <c r="J4" i="55" a="1"/>
  <c r="J4" i="55" s="1"/>
  <c r="L4" i="55" a="1"/>
  <c r="L4" i="55" s="1"/>
  <c r="B40" i="62" l="1" a="1"/>
  <c r="B40" i="62" s="1"/>
  <c r="B10" i="62" a="1"/>
  <c r="B10" i="62" s="1"/>
  <c r="B11" i="62" a="1"/>
  <c r="B11" i="62" s="1"/>
  <c r="B12" i="62" a="1"/>
  <c r="B12" i="62" s="1"/>
  <c r="B13" i="62" a="1"/>
  <c r="B13" i="62" s="1"/>
  <c r="B14" i="62" a="1"/>
  <c r="B14" i="62" s="1"/>
  <c r="B15" i="62" a="1"/>
  <c r="B15" i="62" s="1"/>
  <c r="B16" i="62" a="1"/>
  <c r="B16" i="62" s="1"/>
  <c r="B17" i="62" a="1"/>
  <c r="B17" i="62" s="1"/>
  <c r="B18" i="62" a="1"/>
  <c r="B18" i="62" s="1"/>
  <c r="B19" i="62" a="1"/>
  <c r="B19" i="62" s="1"/>
  <c r="B20" i="62" a="1"/>
  <c r="B20" i="62" s="1"/>
  <c r="B21" i="62" a="1"/>
  <c r="B21" i="62" s="1"/>
  <c r="B22" i="62" a="1"/>
  <c r="B22" i="62" s="1"/>
  <c r="B23" i="62" a="1"/>
  <c r="B23" i="62" s="1"/>
  <c r="B24" i="62" a="1"/>
  <c r="B24" i="62" s="1"/>
  <c r="B25" i="62" a="1"/>
  <c r="B25" i="62" s="1"/>
  <c r="B26" i="62" a="1"/>
  <c r="B26" i="62" s="1"/>
  <c r="B27" i="62" a="1"/>
  <c r="B27" i="62" s="1"/>
  <c r="B28" i="62" a="1"/>
  <c r="B28" i="62" s="1"/>
  <c r="B29" i="62" a="1"/>
  <c r="B29" i="62" s="1"/>
  <c r="B30" i="62" a="1"/>
  <c r="B30" i="62" s="1"/>
  <c r="B31" i="62" a="1"/>
  <c r="B31" i="62" s="1"/>
  <c r="B32" i="62" a="1"/>
  <c r="B32" i="62" s="1"/>
  <c r="B33" i="62" a="1"/>
  <c r="B33" i="62" s="1"/>
  <c r="B34" i="62" a="1"/>
  <c r="B34" i="62" s="1"/>
  <c r="B35" i="62" a="1"/>
  <c r="B35" i="62" s="1"/>
  <c r="B36" i="62" a="1"/>
  <c r="B36" i="62" s="1"/>
  <c r="B37" i="62" a="1"/>
  <c r="B37" i="62" s="1"/>
  <c r="B38" i="62" a="1"/>
  <c r="B38" i="62" s="1"/>
  <c r="B39" i="62" a="1"/>
  <c r="B39" i="62" s="1"/>
  <c r="F14" i="55" l="1"/>
  <c r="F12" i="55"/>
  <c r="J35" i="55"/>
  <c r="J36" i="55"/>
  <c r="J37" i="55"/>
  <c r="J38" i="55"/>
  <c r="J39" i="55"/>
  <c r="J40" i="55"/>
  <c r="J41" i="55"/>
  <c r="J42" i="55"/>
  <c r="J43" i="55"/>
  <c r="J44" i="55"/>
  <c r="H13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F13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D4" i="55" a="1"/>
  <c r="D4" i="55" s="1"/>
  <c r="F4" i="55" a="1"/>
  <c r="F4" i="55" s="1"/>
  <c r="O16" i="55" l="1"/>
  <c r="T16" i="55" s="1"/>
  <c r="U16" i="55" s="1"/>
  <c r="O15" i="55"/>
  <c r="T15" i="55" s="1"/>
  <c r="U15" i="55" s="1"/>
  <c r="O41" i="55"/>
  <c r="T41" i="55" s="1"/>
  <c r="U41" i="55" s="1"/>
  <c r="O24" i="55"/>
  <c r="T24" i="55" s="1"/>
  <c r="U24" i="55" s="1"/>
  <c r="O39" i="55"/>
  <c r="T39" i="55" s="1"/>
  <c r="U39" i="55" s="1"/>
  <c r="O38" i="55"/>
  <c r="T38" i="55" s="1"/>
  <c r="U38" i="55" s="1"/>
  <c r="O30" i="55"/>
  <c r="T30" i="55" s="1"/>
  <c r="U30" i="55" s="1"/>
  <c r="O22" i="55"/>
  <c r="T22" i="55" s="1"/>
  <c r="U22" i="55" s="1"/>
  <c r="O14" i="55"/>
  <c r="T14" i="55" s="1"/>
  <c r="U14" i="55" s="1"/>
  <c r="O33" i="55"/>
  <c r="T33" i="55" s="1"/>
  <c r="U33" i="55" s="1"/>
  <c r="O40" i="55"/>
  <c r="T40" i="55" s="1"/>
  <c r="U40" i="55" s="1"/>
  <c r="O31" i="55"/>
  <c r="T31" i="55" s="1"/>
  <c r="U31" i="55" s="1"/>
  <c r="O29" i="55"/>
  <c r="T29" i="55" s="1"/>
  <c r="U29" i="55" s="1"/>
  <c r="O44" i="55"/>
  <c r="T44" i="55" s="1"/>
  <c r="U44" i="55" s="1"/>
  <c r="O36" i="55"/>
  <c r="T36" i="55" s="1"/>
  <c r="U36" i="55" s="1"/>
  <c r="O28" i="55"/>
  <c r="T28" i="55" s="1"/>
  <c r="U28" i="55" s="1"/>
  <c r="O20" i="55"/>
  <c r="T20" i="55" s="1"/>
  <c r="U20" i="55" s="1"/>
  <c r="O17" i="55"/>
  <c r="T17" i="55" s="1"/>
  <c r="U17" i="55" s="1"/>
  <c r="O32" i="55"/>
  <c r="T32" i="55" s="1"/>
  <c r="U32" i="55" s="1"/>
  <c r="O37" i="55"/>
  <c r="T37" i="55" s="1"/>
  <c r="U37" i="55" s="1"/>
  <c r="O13" i="55"/>
  <c r="T13" i="55" s="1"/>
  <c r="U13" i="55" s="1"/>
  <c r="O43" i="55"/>
  <c r="T43" i="55" s="1"/>
  <c r="U43" i="55" s="1"/>
  <c r="O35" i="55"/>
  <c r="T35" i="55" s="1"/>
  <c r="U35" i="55" s="1"/>
  <c r="O27" i="55"/>
  <c r="T27" i="55" s="1"/>
  <c r="U27" i="55" s="1"/>
  <c r="O19" i="55"/>
  <c r="T19" i="55" s="1"/>
  <c r="U19" i="55" s="1"/>
  <c r="O25" i="55"/>
  <c r="T25" i="55" s="1"/>
  <c r="U25" i="55" s="1"/>
  <c r="O23" i="55"/>
  <c r="T23" i="55" s="1"/>
  <c r="U23" i="55" s="1"/>
  <c r="O21" i="55"/>
  <c r="T21" i="55" s="1"/>
  <c r="U21" i="55" s="1"/>
  <c r="O42" i="55"/>
  <c r="T42" i="55" s="1"/>
  <c r="U42" i="55" s="1"/>
  <c r="O34" i="55"/>
  <c r="T34" i="55" s="1"/>
  <c r="U34" i="55" s="1"/>
  <c r="O26" i="55"/>
  <c r="T26" i="55" s="1"/>
  <c r="U26" i="55" s="1"/>
  <c r="O18" i="55"/>
  <c r="T18" i="55" s="1"/>
  <c r="U18" i="55" s="1"/>
  <c r="H12" i="55" l="1"/>
  <c r="O12" i="55" l="1"/>
  <c r="T12" i="55" s="1"/>
  <c r="U12" i="5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Bellorin</author>
  </authors>
  <commentList>
    <comment ref="E4" authorId="0" shapeId="0" xr:uid="{B5FE11E2-B7C8-4900-A071-800499DC34B6}">
      <text>
        <r>
          <rPr>
            <b/>
            <sz val="9"/>
            <color indexed="81"/>
            <rFont val="Tahoma"/>
            <family val="2"/>
          </rPr>
          <t>Transcribir la actividad a evaluar en los espacios en blanco.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 xr:uid="{12900E9A-53EF-4ADB-864D-D16CD6B605EC}">
      <text>
        <r>
          <rPr>
            <b/>
            <sz val="9"/>
            <color indexed="81"/>
            <rFont val="Tahoma"/>
            <family val="2"/>
          </rPr>
          <t>Colocar la cantidad del porcentaje a evaluar en cada celda, resaltada en azul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Bellorin</author>
  </authors>
  <commentList>
    <comment ref="E4" authorId="0" shapeId="0" xr:uid="{3C92206F-CB87-4466-BB74-29CB8CA47D74}">
      <text>
        <r>
          <rPr>
            <b/>
            <sz val="9"/>
            <color indexed="81"/>
            <rFont val="Tahoma"/>
            <family val="2"/>
          </rPr>
          <t>Transcribir la actividad a evaluar en los espacios en blanco.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 xr:uid="{12E67FA5-3711-4A05-8800-D46C5682DA15}">
      <text>
        <r>
          <rPr>
            <b/>
            <sz val="9"/>
            <color indexed="81"/>
            <rFont val="Tahoma"/>
            <family val="2"/>
          </rPr>
          <t>Colocar la cantidad del porcentaje a evaluar en cada celda, resaltada en azul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Bellorin</author>
  </authors>
  <commentList>
    <comment ref="E4" authorId="0" shapeId="0" xr:uid="{C3B6AF3A-CFF4-4134-A38E-E8266C1A43D2}">
      <text>
        <r>
          <rPr>
            <b/>
            <sz val="9"/>
            <color indexed="81"/>
            <rFont val="Tahoma"/>
            <family val="2"/>
          </rPr>
          <t>Transcribir la actividad a evaluar en los espacios en blanco.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 xr:uid="{B323D781-5DFC-485F-97D3-216719953468}">
      <text>
        <r>
          <rPr>
            <b/>
            <sz val="9"/>
            <color indexed="81"/>
            <rFont val="Tahoma"/>
            <family val="2"/>
          </rPr>
          <t>Colocar la cantidad del porcentaje a evaluar en cada celda, resaltada en azul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Bellorin</author>
  </authors>
  <commentList>
    <comment ref="E4" authorId="0" shapeId="0" xr:uid="{63D594D9-0DE9-4F85-B023-37324B9F73DC}">
      <text>
        <r>
          <rPr>
            <b/>
            <sz val="9"/>
            <color indexed="81"/>
            <rFont val="Tahoma"/>
            <family val="2"/>
          </rPr>
          <t>Transcribir la actividad a evaluar en los espacios en blanco.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 xr:uid="{79448556-C76C-43C5-B187-F921F5DBD460}">
      <text>
        <r>
          <rPr>
            <b/>
            <sz val="9"/>
            <color indexed="81"/>
            <rFont val="Tahoma"/>
            <family val="2"/>
          </rPr>
          <t>Colocar la cantidad del porcentaje a evaluar en cada celda, resaltada en azul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Bellorin</author>
  </authors>
  <commentList>
    <comment ref="E4" authorId="0" shapeId="0" xr:uid="{F5B4887B-C91A-4827-B60F-D872D695D150}">
      <text>
        <r>
          <rPr>
            <b/>
            <sz val="9"/>
            <color indexed="81"/>
            <rFont val="Tahoma"/>
            <family val="2"/>
          </rPr>
          <t>Transcribir la actividad a evaluar en los espacios en blanco.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 xr:uid="{FDC57724-BE8F-400A-9F56-D546076C201C}">
      <text>
        <r>
          <rPr>
            <b/>
            <sz val="9"/>
            <color indexed="81"/>
            <rFont val="Tahoma"/>
            <family val="2"/>
          </rPr>
          <t>Colocar la cantidad del porcentaje a evaluar en cada celda, resaltada en azul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<sst xmlns="http://schemas.openxmlformats.org/spreadsheetml/2006/main" count="611" uniqueCount="216">
  <si>
    <t>HOJA DE LA ACTUACIÓN DEL ESTUDIANTE</t>
  </si>
  <si>
    <t>INASISTENCIAS POR HORAS ACADÉMICAS</t>
  </si>
  <si>
    <t xml:space="preserve">REFERENTES ÉTICOS </t>
  </si>
  <si>
    <t>PROMEDIO AJUSTADO AL 100%</t>
  </si>
  <si>
    <t>CALIFICACIÓN DEL PROFESOR</t>
  </si>
  <si>
    <t>CALIFICACIÓN DEL  CONSEJO</t>
  </si>
  <si>
    <t>FIRMA DEL ESTUDIANTE</t>
  </si>
  <si>
    <t xml:space="preserve">  UNIDAD EDUCATIVA</t>
  </si>
  <si>
    <t>ROBERTO CASTILLO CARDIER</t>
  </si>
  <si>
    <t>%</t>
  </si>
  <si>
    <t>RESPONSABILIDAD</t>
  </si>
  <si>
    <t>AJUSTE SOCIAL</t>
  </si>
  <si>
    <t>APRECIACIÓN FINAL 10%</t>
  </si>
  <si>
    <t>PROMEDIO</t>
  </si>
  <si>
    <t>Nº</t>
  </si>
  <si>
    <t>APELLIDOS Y NOMBRES</t>
  </si>
  <si>
    <t>CALIF</t>
  </si>
  <si>
    <t>M</t>
  </si>
  <si>
    <t>:</t>
  </si>
  <si>
    <t>F</t>
  </si>
  <si>
    <t xml:space="preserve">CONTROL DE ASISTENCIA MES DE: </t>
  </si>
  <si>
    <t>N°</t>
  </si>
  <si>
    <t>SEXO</t>
  </si>
  <si>
    <t>TI</t>
  </si>
  <si>
    <t xml:space="preserve">  NIVELACIÓN</t>
  </si>
  <si>
    <r>
      <t xml:space="preserve">TOTAL  </t>
    </r>
    <r>
      <rPr>
        <sz val="22"/>
        <rFont val="Arial"/>
        <family val="2"/>
      </rPr>
      <t>INASISTENCIA</t>
    </r>
    <r>
      <rPr>
        <b/>
        <sz val="22"/>
        <rFont val="Arial"/>
        <family val="2"/>
      </rPr>
      <t xml:space="preserve"> MENSUAL</t>
    </r>
  </si>
  <si>
    <t>EV.PARCIALES, OBJETIVOS. INSTRUMENTOS, PONDERACIÓN</t>
  </si>
  <si>
    <t>CALIFICACIÓN FINAL DEL ESTUDIANTE POR LAPSO</t>
  </si>
  <si>
    <t xml:space="preserve"> </t>
  </si>
  <si>
    <t>PRUEBA ESCRITA</t>
  </si>
  <si>
    <t>ESCOLARIDAD:   2026 - 2027</t>
  </si>
  <si>
    <t>2</t>
  </si>
  <si>
    <t>3</t>
  </si>
  <si>
    <t>ÁREA:</t>
  </si>
  <si>
    <t>CURSO:</t>
  </si>
  <si>
    <t>LAPSO:</t>
  </si>
  <si>
    <t>DOCENTE:</t>
  </si>
  <si>
    <t>PRIMER MOMENTO PEDAGÓGICO</t>
  </si>
  <si>
    <t>XX</t>
  </si>
  <si>
    <t>F E C H A</t>
  </si>
  <si>
    <t>Matrícula:</t>
  </si>
  <si>
    <t>2DO AÑO SECCIÓN "A"</t>
  </si>
  <si>
    <t>2DO  AÑO SECCIÓN "B"</t>
  </si>
  <si>
    <t>2DO  AÑO SECCIÓN "C"</t>
  </si>
  <si>
    <t>2DO  AÑO SECCIÓN "D"</t>
  </si>
  <si>
    <t>2DO  AÑO SECCIÓN "E"</t>
  </si>
  <si>
    <t>SALAZAR GARCÍA JOSNEIVERTH JOSÉ</t>
  </si>
  <si>
    <t>ALFONZO ARREAZA VIVIANA MARIE</t>
  </si>
  <si>
    <t>VALDEZ FRONTADO CÉSAR IGNACIO</t>
  </si>
  <si>
    <t>FERRER FELIBERTT ÁNGEL FABIÁN</t>
  </si>
  <si>
    <t>CAZORLA GARCÍA SABRINA VITTORIA ASUSEJ</t>
  </si>
  <si>
    <t>FIGUERA FIGUEROA JOSÉ GABRIEL</t>
  </si>
  <si>
    <t>FIGUEROA BOLÍVAR FABRICIO ALEXANDER</t>
  </si>
  <si>
    <t>ALFONZO COVA JOSÉ DANIEL</t>
  </si>
  <si>
    <t>SILVA CEDEÑO CRISTHIAN DANIEL</t>
  </si>
  <si>
    <t>PÉREZ CALZADILLA ALAN JOSUÉ</t>
  </si>
  <si>
    <t>BRUCES GUZMÁN FRANYELIS ALEJANDRA</t>
  </si>
  <si>
    <t>VALDERRAMA BELLORÍN AARON SANTIAGO</t>
  </si>
  <si>
    <t>GUILLENT HERNÁNDEZ BRYAN MIGUEL</t>
  </si>
  <si>
    <t>BARRIOS TOVAR SOFÍA VICTORIA</t>
  </si>
  <si>
    <t>VIDALES INFANTE ELIANNYS CAROLINA</t>
  </si>
  <si>
    <t>CASTRO VALDERRAMA AILAMA NAYSA</t>
  </si>
  <si>
    <t>GARCÍA NÚÑEZ LUCÍA VALERIA</t>
  </si>
  <si>
    <t>GAMARDO SUFIA DAVIHANA ESTHER</t>
  </si>
  <si>
    <t>VELÁSQUEZ VALBUENA EUGENIA VICTORIA</t>
  </si>
  <si>
    <t>SILANO ARAY JHOSELYN ANARIC</t>
  </si>
  <si>
    <t>PERDOMO CAMPERO SCARLET SOFIA</t>
  </si>
  <si>
    <t>PUERTA ALBORNOZ ABDIEL JOSUÉ</t>
  </si>
  <si>
    <t>GUACARÁN RUIZ ORLANDYS VALENTINA</t>
  </si>
  <si>
    <t>GONZÁLEZ SUÁREZ SEBASTIÁN ANTUAN</t>
  </si>
  <si>
    <t>FERNÁNDEZ GARCÍA ALEXANDRA ISABEL</t>
  </si>
  <si>
    <t>FIGUEROA GUERRA HILARI VALENTINA</t>
  </si>
  <si>
    <t>PÉREZ MAESTRE CAMILA YANNELYS</t>
  </si>
  <si>
    <t>LEGENDRE RODRIGUEZ VICTORIA BELEN</t>
  </si>
  <si>
    <t>PÉREZ SOLORZANO NATHALIE MAILETH</t>
  </si>
  <si>
    <t>NAVARRO CARRASCAL ESTEBAN ADRIÁN</t>
  </si>
  <si>
    <t>BRAVO MARTÍNEZ IVANNA VICTORIA</t>
  </si>
  <si>
    <t>BARRIOS GUZMÁN JUAN DIEGO</t>
  </si>
  <si>
    <t>GUZMÁN PÉREZ RICARDO AURELIO</t>
  </si>
  <si>
    <t>DELLA MORTE VALLENILLA SOPHIA ANTONELLA</t>
  </si>
  <si>
    <t>MARCANO RAMOS MARÍA PAULA</t>
  </si>
  <si>
    <t>MORENO MAITA MIRANDA VALERIA</t>
  </si>
  <si>
    <t>MAURERA ORDAZ ANA VALENTINA</t>
  </si>
  <si>
    <t>PÉREZ CAMPOS LUCÍA VALENTINA</t>
  </si>
  <si>
    <t>CAMPOS MAITA KAMILA ISABELLA DE JESÚS</t>
  </si>
  <si>
    <t>MARCANO COLMENARES ANDREA VALENTINA</t>
  </si>
  <si>
    <t>ARISMENDI PINO RODRIGO ALEJANDRO</t>
  </si>
  <si>
    <t>GUARISMA RIVAS JOSÉ DAVID</t>
  </si>
  <si>
    <t>RODRÍGUEZ LAUCHO LISMAR ELIBET</t>
  </si>
  <si>
    <t>PÉREZ CABELLO EHIZA SOFIA</t>
  </si>
  <si>
    <t>AGUILARTE ACUÑA ARANSSA YSABEL</t>
  </si>
  <si>
    <t>MÉNDEZ PACHECO JEREMÍAS ABRAHAM</t>
  </si>
  <si>
    <t>GIBBS MACUARES ALEJANDRA ISABELLA</t>
  </si>
  <si>
    <t>HATOUM NARVÁEZ GADA BETZAIDA</t>
  </si>
  <si>
    <t>DÍAZ LÓPEZ JOSEANNYS AMANDA</t>
  </si>
  <si>
    <t>SALAZAR MAITA GABRIEL ALEJANDRO</t>
  </si>
  <si>
    <t>RODRÍGUEZ BELLO ADRIAN JOSÉ</t>
  </si>
  <si>
    <t>RODRÍGUEZ PATETE ALFONSO LUIS</t>
  </si>
  <si>
    <t>MAITA CARABALLO GABRIEL ALEJANDRO</t>
  </si>
  <si>
    <t>ACOSTA ARREAZA EDWIN AAROM</t>
  </si>
  <si>
    <t>GARCÍA HUNG AMY VALERIA</t>
  </si>
  <si>
    <t>MOSQUEDA GARZÓN HELEN SOPHIA</t>
  </si>
  <si>
    <t>RAMÍREZ QUIJADA SARA VALENTINA DEL VALLE</t>
  </si>
  <si>
    <t>CHAURÁN GONZÁLEZ LUISANNY CAROLINA</t>
  </si>
  <si>
    <t>VELÁSQUEZ GARCÍA ARIANNETTE DE LOS ÁNGELES</t>
  </si>
  <si>
    <t>MELGAREJO VILLANUEVA SAHYRETH VALENTINA</t>
  </si>
  <si>
    <t>JIMENEZ MOGOLLÓN KEVYN MIGUEL</t>
  </si>
  <si>
    <t>GÓMEZ MACÍAS GUSTAVO ALEJANDRO</t>
  </si>
  <si>
    <t>DÍAZ ROMERO PABLO JOSÉ</t>
  </si>
  <si>
    <t>GARCÍA MEDINA SUSEJ FABIANNE</t>
  </si>
  <si>
    <t>BARRIOS YAGUA ROSACNER ALEJANDRA</t>
  </si>
  <si>
    <t>FLORES HERNÁNDEZ JHOAN ELIEZER DAVID</t>
  </si>
  <si>
    <t>HERRERA CONTRERAS JOSÉ IGNACIO</t>
  </si>
  <si>
    <t>CALDERÓN PRIETO AVRILL VICTORIA</t>
  </si>
  <si>
    <t>EVANS ROJAS JOHN ANTHONY</t>
  </si>
  <si>
    <t>PÁEZ PEÑA CÉSAR IGNACIO</t>
  </si>
  <si>
    <t>GARCÍA SALAZAR SOPHIA ISABEL</t>
  </si>
  <si>
    <t>ROJAS MATA ISMAEL JOSÉ</t>
  </si>
  <si>
    <t>MAITA LANDAETA ISABELLA VALENTINA</t>
  </si>
  <si>
    <t>CASTILLO YBAÑEZ ERIKXANDER JEREMIA</t>
  </si>
  <si>
    <t>BRUCES ROCCA MARÍA FERNANDA</t>
  </si>
  <si>
    <t>PALMA CARCAMO ARANTZA SOPHIA</t>
  </si>
  <si>
    <t>BURGUILLOS GUIRIGAY EDGAR LUIS</t>
  </si>
  <si>
    <t>URBANO CHAURAN ANA PAULA DEL CARMEN</t>
  </si>
  <si>
    <t>GÓMEZ MÉNDEZ LUIS MAXIMILIANO</t>
  </si>
  <si>
    <t>REBOLLEDO PÉREZ MIGUEL ÁNGEL</t>
  </si>
  <si>
    <t>QUIJADA GARCÍA LUIS EDUARDO</t>
  </si>
  <si>
    <t>EVANS GUZMÁN ÁNGEL ALFREDO</t>
  </si>
  <si>
    <t>UGAS BELLORÍN ADRIEL ALEXANDER</t>
  </si>
  <si>
    <t>BRUCE SÁNCHEZ ESTEFANY VALENTINA</t>
  </si>
  <si>
    <t>GONZÁLEZ LÓPEZ ESTEBAN ISAAC</t>
  </si>
  <si>
    <t>BRICEÑO ARREAZA EMILY SOLIMAR</t>
  </si>
  <si>
    <t>ROMERO SALAZAR HÉCTOR FABRICCIO</t>
  </si>
  <si>
    <t>AL SOUS CABRERA SHADIA</t>
  </si>
  <si>
    <t>MAITA ROMERO LUCIANA VIRGINIA</t>
  </si>
  <si>
    <t>ARZOLAY AGUILERA SOFÍA NICOLE</t>
  </si>
  <si>
    <t>VÁSQUEZ SEQUERA FABIANA ISABEL</t>
  </si>
  <si>
    <t>RODRÍGUEZ ALFONZO ANTONELLA SOPHIA</t>
  </si>
  <si>
    <t>ASCANIO ROSAS SOFÍA VALENTINA</t>
  </si>
  <si>
    <t>MORENO BURGA THOMAS ENRIQUE</t>
  </si>
  <si>
    <t>REQUENA ESPINOZA FABRIZIO ANDRÉS</t>
  </si>
  <si>
    <t>FIGUERA NAVARRO DALIA PATRICIA</t>
  </si>
  <si>
    <t>QUIJADA SERBERI OSMAELIS DEL CARMEN</t>
  </si>
  <si>
    <t>GUERRA CASTILLO DANIEL ALEJANDRO</t>
  </si>
  <si>
    <t>MALAVE LORETO ALEYMAR ALBANY</t>
  </si>
  <si>
    <t>AVILA TORREALBA MARTHALUX ALEJANDRA</t>
  </si>
  <si>
    <t>BOLÍVAR GONZÁLEZ ASHLEY VALENTINA</t>
  </si>
  <si>
    <t>QUIJADA ORSINI MEYLER ALEXANDER</t>
  </si>
  <si>
    <t>CORTEZ OLIVARES JUAN CARLOS</t>
  </si>
  <si>
    <t>RAMOS KUEFATI MARÍA GABRIELA</t>
  </si>
  <si>
    <t>QUINTERO RODRIGUEZ BIANCA ANABELLE</t>
  </si>
  <si>
    <t>MACHADO ZACARÍAS CYNTHIA LUCÍA</t>
  </si>
  <si>
    <t>ROJAS LÓPEZ MELANY SOPHIA</t>
  </si>
  <si>
    <t>LÁREZ ALCALÁ KAROL DEL VALLE</t>
  </si>
  <si>
    <t>GRANDA VIVAS ÁNGEL IBRAHIN</t>
  </si>
  <si>
    <t>PÉREZ ACOSTA FELIPE ALEJANDRO</t>
  </si>
  <si>
    <t>REQUENA BELMONTE JUAN CAMILO</t>
  </si>
  <si>
    <t>PÉREZ BERRIOS SANTIAGO JESÚS</t>
  </si>
  <si>
    <t>SUCRE VIANI ANTHONELLA SOFÍA</t>
  </si>
  <si>
    <t>CERMEÑO GÓMEZ SALOMÓN ADONAI</t>
  </si>
  <si>
    <t>HERRERA GUARIMÁN SAMANTHA SARAHI</t>
  </si>
  <si>
    <t>CONTRERAS MARTÍNEZ STEFFANY NICOLE</t>
  </si>
  <si>
    <t>OSORIO AREVALO SAMUEL RAMÓN</t>
  </si>
  <si>
    <t>MARÍN FIGUERA MATHIAS ALEJANDRO</t>
  </si>
  <si>
    <t>GUZMÁN CONTRERAS GABRIELA DE LOS ÁNGELES</t>
  </si>
  <si>
    <t>PARICAGUÁN OTERO ÁMBAR REBECA</t>
  </si>
  <si>
    <t>MILLÁN MEDINA ALEANYIS DAIN</t>
  </si>
  <si>
    <t>SABINO CARUTO IVET ISABELLA</t>
  </si>
  <si>
    <t>LOPÉZ GUZMÁN SANTIAGO JESÚS</t>
  </si>
  <si>
    <t>RESTREPO ARREAZA NOEL JOSÉ</t>
  </si>
  <si>
    <t>FERNÁNDEZ BASTARDO SOFÍA FERNANDA</t>
  </si>
  <si>
    <t>NATERA GONZÁLEZ CAMILA SOFÍA</t>
  </si>
  <si>
    <t>PÉREZ CAMPERO MATÍAS SANTIAGO</t>
  </si>
  <si>
    <t>PERÉZ LUQUEZ MARÍA EMILIA</t>
  </si>
  <si>
    <t>QUIJADA FARIAS ISABEL CRISTINA</t>
  </si>
  <si>
    <t>MANZANO MACHADO VICTORIA VALENTINA</t>
  </si>
  <si>
    <t>HOMSANI SIFONTES ELIAS YOUSEF</t>
  </si>
  <si>
    <t>NIEVES PRADO ALIANGEL ALESSANDRA</t>
  </si>
  <si>
    <t>DE RAMOS MARTÍNEZ VICTORIA NICOLE</t>
  </si>
  <si>
    <t>MALAVER ALCALÁ ARIEL SARAÍ</t>
  </si>
  <si>
    <t>GUZMÁN BLANCO FRANCISCO GABRIEL</t>
  </si>
  <si>
    <t>DUERTO FLORES REYSELIS NOHEMI</t>
  </si>
  <si>
    <t>PALOMO COLMENARES SANTIAGO RAFAEL</t>
  </si>
  <si>
    <t>LÓPEZ LEAL SABRINA ESMERALDA</t>
  </si>
  <si>
    <t>MONRROY MEJÍAS JORGE YASSER</t>
  </si>
  <si>
    <t>MAITAN BRIÓN LUIS ALFREDO</t>
  </si>
  <si>
    <t>RAMOS RAMOS XIMENA LUCÍA</t>
  </si>
  <si>
    <t>RIVAS FIGUEROA CAMILA NICOLE</t>
  </si>
  <si>
    <t>TIAPA FLORES MOISÉS ALFREDO</t>
  </si>
  <si>
    <t>BETANCOURT CENTENO DIEGO ALEJANDRO</t>
  </si>
  <si>
    <t>MÁRQUEZ VIÑA ANTHONY ALESSANDRO</t>
  </si>
  <si>
    <t>YÁNEZ FONSECA ARANZA SURIEL</t>
  </si>
  <si>
    <t>LARES VIVAS VALERY SOFÍA</t>
  </si>
  <si>
    <t>JIMÉNEZ ROMERO SEBASTIÁN DAVID</t>
  </si>
  <si>
    <t>SOUQUET MANZANO JUAN PABLO</t>
  </si>
  <si>
    <t>NÚÑEZ VALLENILLA NATHALIA ALEJANDRA</t>
  </si>
  <si>
    <t>SALAZAR JIMÉNEZ NAOMI CAROLINA DEL VALLE</t>
  </si>
  <si>
    <t>MALAVER SALGADO AUGUSTO JOSÉ</t>
  </si>
  <si>
    <t>GONZÁLEZ MOYA JOAQUÍN ANDRÉS</t>
  </si>
  <si>
    <t>BRITO VENEGAS JOSÉ SAÚL DAVID</t>
  </si>
  <si>
    <t>GARCÍA LUSINCHE GÉNESIS VICTORIA</t>
  </si>
  <si>
    <t>BERMÚDEZ MARTÍNEZ LUIS ALEX ARMANDO</t>
  </si>
  <si>
    <t>TORREALBA COCHRANE DEIVIS DANIEL</t>
  </si>
  <si>
    <t>MORENO GUZMÁN MIGUEL ÁNGEL DAVID</t>
  </si>
  <si>
    <t>BEZADA MARTÍNEZ KENDRA DE JESÚS</t>
  </si>
  <si>
    <t>SEGNINI LÓPEZ FABRICIO ALESSANDRO</t>
  </si>
  <si>
    <t>GUZMÁN PÉREZ JOSÉ GUILLERMO</t>
  </si>
  <si>
    <t>ROSAL CHIRAPA JHOELIS ALEJANDRA</t>
  </si>
  <si>
    <t>GONZÁLEZ BERMÚDEZ ANDREA SOFHIA</t>
  </si>
  <si>
    <t>ALMEIDA VELÁSQUEZ ARIADNI STEPHANIA</t>
  </si>
  <si>
    <t>ARREDONDO ROSALES VICTOR GABRIEL</t>
  </si>
  <si>
    <t>GUEVARA VELÁSQUEZ ISABELLA ALEJANDRA</t>
  </si>
  <si>
    <t>SEQUEA BASTARDO BRITTANY CAMILA</t>
  </si>
  <si>
    <t>SUÁREZ PINO ADRIÁN GABRIEL</t>
  </si>
  <si>
    <t>FARÍAS SOLANO CARLOS ALEJANDRO</t>
  </si>
  <si>
    <t>DÍAZ ALMEIDA CARLOTA ISABELLA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</si>
</sst>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_ "/>
    <numFmt numFmtId="165" formatCode="0.0;;"/>
    <numFmt numFmtId="166" formatCode="00"/>
    <numFmt numFmtId="167" formatCode="0.00;;"/>
    <numFmt numFmtId="168" formatCode="0;;"/>
    <numFmt numFmtId="169" formatCode="0_ ;\-0\ "/>
    <numFmt numFmtId="170" formatCode="dd/mm/yy;@"/>
  </numFmts>
  <fonts count="50" x14ac:knownFonts="1">
    <font>
      <sz val="11"/>
      <color theme="1"/>
      <name val="Arial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Arial"/>
      <family val="2"/>
    </font>
    <font>
      <sz val="8"/>
      <name val="Arial Narrow"/>
      <family val="2"/>
      <scheme val="minor"/>
    </font>
    <font>
      <sz val="18"/>
      <name val="Tahoma"/>
      <family val="2"/>
    </font>
    <font>
      <b/>
      <sz val="18"/>
      <name val="Tahoma"/>
      <family val="2"/>
    </font>
    <font>
      <sz val="18"/>
      <color theme="1"/>
      <name val="Arial Narrow"/>
      <family val="2"/>
      <scheme val="minor"/>
    </font>
    <font>
      <b/>
      <sz val="18"/>
      <name val="Arial Narrow"/>
      <family val="2"/>
    </font>
    <font>
      <sz val="12"/>
      <name val="Arial"/>
      <family val="2"/>
    </font>
    <font>
      <sz val="12"/>
      <name val="Arial Narrow"/>
      <family val="2"/>
      <scheme val="minor"/>
    </font>
    <font>
      <sz val="14"/>
      <name val="Arial Narrow"/>
      <family val="2"/>
    </font>
    <font>
      <sz val="18"/>
      <name val="Arial Narrow"/>
      <family val="2"/>
    </font>
    <font>
      <b/>
      <sz val="18"/>
      <color theme="1"/>
      <name val="Arial Narrow"/>
      <family val="2"/>
    </font>
    <font>
      <sz val="18"/>
      <name val="Arial Narrow"/>
      <family val="2"/>
      <scheme val="minor"/>
    </font>
    <font>
      <sz val="14"/>
      <name val="Arial"/>
      <family val="2"/>
    </font>
    <font>
      <b/>
      <sz val="16"/>
      <color theme="1"/>
      <name val="Arial Narrow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b/>
      <sz val="22"/>
      <name val="Arial Narrow"/>
      <family val="2"/>
    </font>
    <font>
      <b/>
      <sz val="22"/>
      <name val="Tahoma"/>
      <family val="2"/>
    </font>
    <font>
      <b/>
      <sz val="22"/>
      <color indexed="8"/>
      <name val="Calibri"/>
      <family val="2"/>
    </font>
    <font>
      <b/>
      <sz val="20"/>
      <name val="Arial"/>
      <family val="2"/>
    </font>
    <font>
      <sz val="28"/>
      <name val="Calibri"/>
      <family val="2"/>
    </font>
    <font>
      <sz val="28"/>
      <name val="Tahoma"/>
      <family val="2"/>
    </font>
    <font>
      <b/>
      <sz val="28"/>
      <name val="Arial"/>
      <family val="2"/>
    </font>
    <font>
      <b/>
      <sz val="18"/>
      <name val="Arial Narrow"/>
      <family val="2"/>
      <scheme val="minor"/>
    </font>
    <font>
      <b/>
      <sz val="20"/>
      <name val="Arial Narrow"/>
      <family val="2"/>
      <scheme val="minor"/>
    </font>
    <font>
      <b/>
      <sz val="22"/>
      <name val="Arial Narrow"/>
      <family val="2"/>
      <scheme val="minor"/>
    </font>
    <font>
      <b/>
      <sz val="16"/>
      <color indexed="8"/>
      <name val="Arial"/>
      <family val="2"/>
    </font>
    <font>
      <b/>
      <sz val="20"/>
      <name val="Arial Narrow"/>
      <family val="2"/>
    </font>
    <font>
      <b/>
      <sz val="18"/>
      <name val="Arial"/>
      <family val="2"/>
    </font>
    <font>
      <sz val="18"/>
      <color rgb="FF212529"/>
      <name val="Arial Narrow"/>
      <family val="2"/>
    </font>
    <font>
      <sz val="18"/>
      <color rgb="FF212529"/>
      <name val="Arial Narrow"/>
      <family val="2"/>
      <scheme val="minor"/>
    </font>
    <font>
      <sz val="18"/>
      <name val="Arial"/>
      <family val="2"/>
    </font>
    <font>
      <sz val="22"/>
      <color theme="1"/>
      <name val="Arial"/>
      <family val="2"/>
    </font>
    <font>
      <sz val="22"/>
      <color rgb="FF212529"/>
      <name val="Segoe UI"/>
      <family val="2"/>
    </font>
    <font>
      <b/>
      <sz val="24"/>
      <name val="Arial"/>
      <family val="2"/>
    </font>
    <font>
      <b/>
      <sz val="16"/>
      <name val="Arial Narrow"/>
      <family val="2"/>
    </font>
    <font>
      <b/>
      <sz val="22"/>
      <color theme="1"/>
      <name val="Arial Narrow"/>
      <family val="2"/>
    </font>
    <font>
      <sz val="18"/>
      <color rgb="FF212529"/>
      <name val="Segoe UI"/>
      <family val="2"/>
    </font>
    <font>
      <sz val="18"/>
      <color rgb="FF212529"/>
      <name val="Arial Narrow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AECEE"/>
      </left>
      <right style="medium">
        <color rgb="FFDDDDDD"/>
      </right>
      <top style="medium">
        <color rgb="FFDDDDDD"/>
      </top>
      <bottom style="medium">
        <color rgb="FFEAECEE"/>
      </bottom>
      <diagonal/>
    </border>
    <border>
      <left style="medium">
        <color rgb="FFEAECEE"/>
      </left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shrinkToFit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hidden="1"/>
    </xf>
    <xf numFmtId="0" fontId="15" fillId="0" borderId="0" xfId="0" applyFont="1"/>
    <xf numFmtId="0" fontId="15" fillId="0" borderId="0" xfId="0" applyFont="1" applyProtection="1">
      <protection locked="0"/>
    </xf>
    <xf numFmtId="0" fontId="18" fillId="0" borderId="0" xfId="0" applyFont="1" applyAlignment="1">
      <alignment vertical="center"/>
    </xf>
    <xf numFmtId="164" fontId="4" fillId="0" borderId="4" xfId="0" applyNumberFormat="1" applyFont="1" applyBorder="1" applyAlignment="1" applyProtection="1">
      <alignment horizontal="center" vertical="center" textRotation="90"/>
      <protection hidden="1"/>
    </xf>
    <xf numFmtId="164" fontId="4" fillId="0" borderId="7" xfId="0" applyNumberFormat="1" applyFont="1" applyBorder="1" applyAlignment="1" applyProtection="1">
      <alignment horizontal="center" vertical="center" textRotation="90"/>
      <protection hidden="1"/>
    </xf>
    <xf numFmtId="0" fontId="24" fillId="0" borderId="6" xfId="0" applyFont="1" applyBorder="1" applyAlignment="1" applyProtection="1">
      <alignment horizontal="left"/>
      <protection locked="0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distributed"/>
    </xf>
    <xf numFmtId="0" fontId="27" fillId="0" borderId="16" xfId="0" applyFont="1" applyBorder="1" applyAlignment="1" applyProtection="1">
      <alignment vertical="center"/>
      <protection hidden="1"/>
    </xf>
    <xf numFmtId="0" fontId="28" fillId="4" borderId="1" xfId="0" applyFont="1" applyFill="1" applyBorder="1" applyAlignment="1" applyProtection="1">
      <alignment horizontal="center" vertical="center"/>
      <protection hidden="1"/>
    </xf>
    <xf numFmtId="0" fontId="29" fillId="5" borderId="2" xfId="3" applyFont="1" applyFill="1" applyBorder="1" applyAlignment="1" applyProtection="1">
      <alignment horizontal="center" vertical="center" wrapText="1"/>
      <protection hidden="1"/>
    </xf>
    <xf numFmtId="0" fontId="28" fillId="6" borderId="3" xfId="0" applyFont="1" applyFill="1" applyBorder="1" applyAlignment="1" applyProtection="1">
      <alignment horizontal="center" vertical="center"/>
      <protection hidden="1"/>
    </xf>
    <xf numFmtId="0" fontId="28" fillId="0" borderId="3" xfId="0" applyFont="1" applyBorder="1" applyAlignment="1" applyProtection="1">
      <alignment horizontal="center" vertical="center"/>
      <protection hidden="1"/>
    </xf>
    <xf numFmtId="0" fontId="28" fillId="4" borderId="20" xfId="0" applyFont="1" applyFill="1" applyBorder="1" applyAlignment="1" applyProtection="1">
      <alignment horizontal="center" vertical="center"/>
      <protection hidden="1"/>
    </xf>
    <xf numFmtId="0" fontId="29" fillId="5" borderId="7" xfId="3" applyFont="1" applyFill="1" applyBorder="1" applyAlignment="1" applyProtection="1">
      <alignment horizontal="center" vertical="center" wrapText="1"/>
      <protection hidden="1"/>
    </xf>
    <xf numFmtId="0" fontId="31" fillId="0" borderId="3" xfId="0" applyFont="1" applyBorder="1" applyAlignment="1" applyProtection="1">
      <alignment horizontal="center" vertical="center"/>
      <protection locked="0"/>
    </xf>
    <xf numFmtId="0" fontId="32" fillId="0" borderId="3" xfId="0" applyFont="1" applyBorder="1" applyAlignment="1" applyProtection="1">
      <alignment horizontal="center" vertical="center"/>
      <protection locked="0"/>
    </xf>
    <xf numFmtId="168" fontId="33" fillId="0" borderId="3" xfId="0" applyNumberFormat="1" applyFont="1" applyBorder="1" applyAlignment="1" applyProtection="1">
      <alignment horizontal="center" vertical="center"/>
      <protection hidden="1"/>
    </xf>
    <xf numFmtId="169" fontId="17" fillId="0" borderId="21" xfId="2" applyNumberFormat="1" applyFont="1" applyBorder="1" applyAlignment="1" applyProtection="1">
      <alignment horizontal="distributed" vertical="center" wrapText="1"/>
      <protection hidden="1"/>
    </xf>
    <xf numFmtId="166" fontId="19" fillId="0" borderId="7" xfId="0" applyNumberFormat="1" applyFont="1" applyBorder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7" fontId="21" fillId="0" borderId="0" xfId="0" applyNumberFormat="1" applyFont="1" applyAlignment="1" applyProtection="1">
      <alignment horizontal="center" vertical="center"/>
      <protection hidden="1"/>
    </xf>
    <xf numFmtId="166" fontId="16" fillId="0" borderId="0" xfId="0" applyNumberFormat="1" applyFont="1" applyAlignment="1" applyProtection="1">
      <alignment horizontal="center" vertical="center"/>
      <protection locked="0"/>
    </xf>
    <xf numFmtId="165" fontId="18" fillId="0" borderId="0" xfId="0" applyNumberFormat="1" applyFont="1" applyAlignment="1">
      <alignment vertical="center"/>
    </xf>
    <xf numFmtId="165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167" fontId="20" fillId="0" borderId="0" xfId="0" applyNumberFormat="1" applyFont="1" applyAlignment="1" applyProtection="1">
      <alignment horizontal="center" vertical="center"/>
      <protection locked="0"/>
    </xf>
    <xf numFmtId="168" fontId="34" fillId="0" borderId="0" xfId="0" applyNumberFormat="1" applyFont="1" applyAlignment="1">
      <alignment horizontal="center" vertical="center"/>
    </xf>
    <xf numFmtId="2" fontId="20" fillId="0" borderId="0" xfId="0" applyNumberFormat="1" applyFont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/>
      <protection hidden="1"/>
    </xf>
    <xf numFmtId="0" fontId="37" fillId="7" borderId="4" xfId="1" applyFont="1" applyFill="1" applyBorder="1" applyAlignment="1" applyProtection="1">
      <alignment horizontal="center" shrinkToFit="1"/>
      <protection hidden="1"/>
    </xf>
    <xf numFmtId="167" fontId="38" fillId="0" borderId="0" xfId="0" applyNumberFormat="1" applyFont="1" applyAlignment="1" applyProtection="1">
      <alignment horizontal="center" vertical="center"/>
      <protection hidden="1"/>
    </xf>
    <xf numFmtId="167" fontId="35" fillId="0" borderId="0" xfId="0" applyNumberFormat="1" applyFont="1" applyAlignment="1">
      <alignment horizontal="center" vertical="center"/>
    </xf>
    <xf numFmtId="0" fontId="1" fillId="0" borderId="8" xfId="0" applyFont="1" applyBorder="1" applyAlignment="1" applyProtection="1">
      <alignment vertical="center" textRotation="90" wrapText="1"/>
      <protection hidden="1"/>
    </xf>
    <xf numFmtId="165" fontId="36" fillId="0" borderId="0" xfId="0" applyNumberFormat="1" applyFont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32" fillId="0" borderId="24" xfId="0" applyFont="1" applyBorder="1" applyAlignment="1" applyProtection="1">
      <alignment horizontal="center" vertical="center"/>
      <protection locked="0"/>
    </xf>
    <xf numFmtId="49" fontId="30" fillId="8" borderId="7" xfId="0" applyNumberFormat="1" applyFont="1" applyFill="1" applyBorder="1" applyAlignment="1" applyProtection="1">
      <alignment horizontal="center" vertical="center" textRotation="255"/>
      <protection locked="0"/>
    </xf>
    <xf numFmtId="49" fontId="28" fillId="8" borderId="3" xfId="0" applyNumberFormat="1" applyFont="1" applyFill="1" applyBorder="1" applyAlignment="1" applyProtection="1">
      <alignment horizontal="center" vertical="center"/>
      <protection hidden="1"/>
    </xf>
    <xf numFmtId="167" fontId="22" fillId="0" borderId="0" xfId="0" applyNumberFormat="1" applyFont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right" shrinkToFit="1"/>
      <protection hidden="1"/>
    </xf>
    <xf numFmtId="0" fontId="24" fillId="0" borderId="0" xfId="0" applyFont="1" applyAlignment="1" applyProtection="1">
      <alignment horizontal="left"/>
      <protection hidden="1"/>
    </xf>
    <xf numFmtId="0" fontId="24" fillId="0" borderId="6" xfId="0" applyFont="1" applyBorder="1" applyAlignment="1" applyProtection="1">
      <alignment horizontal="left"/>
      <protection hidden="1"/>
    </xf>
    <xf numFmtId="0" fontId="26" fillId="0" borderId="0" xfId="0" applyFont="1"/>
    <xf numFmtId="0" fontId="4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31" fillId="0" borderId="30" xfId="0" applyFont="1" applyBorder="1" applyAlignment="1" applyProtection="1">
      <alignment horizontal="center" vertical="center"/>
      <protection locked="0"/>
    </xf>
    <xf numFmtId="0" fontId="29" fillId="9" borderId="8" xfId="3" applyFont="1" applyFill="1" applyBorder="1" applyAlignment="1" applyProtection="1">
      <alignment horizontal="center" vertical="center" wrapText="1"/>
      <protection locked="0"/>
    </xf>
    <xf numFmtId="0" fontId="27" fillId="0" borderId="16" xfId="0" applyFont="1" applyBorder="1" applyAlignment="1" applyProtection="1">
      <alignment horizontal="right" vertical="center"/>
      <protection hidden="1"/>
    </xf>
    <xf numFmtId="0" fontId="27" fillId="0" borderId="15" xfId="0" applyFont="1" applyBorder="1" applyAlignment="1" applyProtection="1">
      <alignment horizontal="right"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41" fillId="0" borderId="27" xfId="0" applyFont="1" applyBorder="1" applyAlignment="1" applyProtection="1">
      <alignment vertical="center" wrapText="1"/>
      <protection hidden="1"/>
    </xf>
    <xf numFmtId="0" fontId="41" fillId="0" borderId="28" xfId="0" applyFont="1" applyBorder="1" applyAlignment="1" applyProtection="1">
      <alignment vertical="center" wrapText="1"/>
      <protection hidden="1"/>
    </xf>
    <xf numFmtId="0" fontId="42" fillId="0" borderId="0" xfId="0" applyFont="1" applyAlignment="1">
      <alignment shrinkToFit="1"/>
    </xf>
    <xf numFmtId="169" fontId="42" fillId="0" borderId="0" xfId="2" applyNumberFormat="1" applyFont="1" applyAlignment="1" applyProtection="1">
      <alignment horizontal="distributed" vertical="center" wrapText="1"/>
      <protection hidden="1"/>
    </xf>
    <xf numFmtId="168" fontId="35" fillId="0" borderId="0" xfId="0" applyNumberFormat="1" applyFont="1" applyAlignment="1">
      <alignment horizontal="center" vertical="center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49" fontId="26" fillId="8" borderId="7" xfId="0" applyNumberFormat="1" applyFont="1" applyFill="1" applyBorder="1" applyAlignment="1" applyProtection="1">
      <alignment horizontal="center" vertical="center" textRotation="255"/>
      <protection locked="0"/>
    </xf>
    <xf numFmtId="0" fontId="46" fillId="0" borderId="4" xfId="0" applyFont="1" applyBorder="1" applyAlignment="1" applyProtection="1">
      <alignment horizontal="center"/>
      <protection hidden="1"/>
    </xf>
    <xf numFmtId="0" fontId="47" fillId="2" borderId="4" xfId="0" applyFont="1" applyFill="1" applyBorder="1" applyAlignment="1" applyProtection="1">
      <alignment horizontal="center"/>
      <protection locked="0"/>
    </xf>
    <xf numFmtId="0" fontId="40" fillId="0" borderId="27" xfId="0" applyFont="1" applyBorder="1" applyAlignment="1">
      <alignment vertical="center" wrapText="1"/>
    </xf>
    <xf numFmtId="0" fontId="40" fillId="0" borderId="28" xfId="0" applyFont="1" applyBorder="1" applyAlignment="1">
      <alignment vertical="center" wrapText="1"/>
    </xf>
    <xf numFmtId="168" fontId="43" fillId="0" borderId="29" xfId="0" applyNumberFormat="1" applyFont="1" applyBorder="1" applyAlignment="1" applyProtection="1">
      <alignment horizontal="left" vertical="distributed"/>
      <protection hidden="1"/>
    </xf>
    <xf numFmtId="0" fontId="41" fillId="0" borderId="27" xfId="0" applyFont="1" applyBorder="1" applyAlignment="1">
      <alignment vertical="center" wrapText="1"/>
    </xf>
    <xf numFmtId="0" fontId="41" fillId="0" borderId="28" xfId="0" applyFont="1" applyBorder="1" applyAlignment="1">
      <alignment vertical="center" wrapText="1"/>
    </xf>
    <xf numFmtId="0" fontId="40" fillId="0" borderId="31" xfId="0" applyFont="1" applyBorder="1" applyAlignment="1">
      <alignment horizontal="center" vertical="center" wrapText="1"/>
    </xf>
    <xf numFmtId="0" fontId="49" fillId="0" borderId="26" xfId="0" applyFont="1" applyBorder="1" applyAlignment="1">
      <alignment vertical="center" wrapText="1"/>
    </xf>
    <xf numFmtId="0" fontId="49" fillId="0" borderId="27" xfId="0" applyFont="1" applyBorder="1" applyAlignment="1">
      <alignment vertical="center" wrapText="1"/>
    </xf>
    <xf numFmtId="0" fontId="49" fillId="0" borderId="28" xfId="0" applyFont="1" applyBorder="1" applyAlignment="1">
      <alignment vertical="center" wrapText="1"/>
    </xf>
    <xf numFmtId="0" fontId="41" fillId="0" borderId="32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168" fontId="34" fillId="0" borderId="0" xfId="0" applyNumberFormat="1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textRotation="90"/>
      <protection hidden="1"/>
    </xf>
    <xf numFmtId="0" fontId="6" fillId="0" borderId="3" xfId="0" applyFont="1" applyBorder="1" applyAlignment="1" applyProtection="1">
      <alignment horizontal="center" textRotation="90"/>
      <protection hidden="1"/>
    </xf>
    <xf numFmtId="0" fontId="6" fillId="0" borderId="4" xfId="0" applyFont="1" applyBorder="1" applyAlignment="1" applyProtection="1">
      <alignment horizontal="center" textRotation="90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2" fontId="23" fillId="0" borderId="3" xfId="0" applyNumberFormat="1" applyFont="1" applyBorder="1" applyAlignment="1" applyProtection="1">
      <alignment horizontal="center" vertical="center" textRotation="90"/>
      <protection locked="0"/>
    </xf>
    <xf numFmtId="2" fontId="23" fillId="0" borderId="4" xfId="0" applyNumberFormat="1" applyFont="1" applyBorder="1" applyAlignment="1" applyProtection="1">
      <alignment horizontal="center" vertical="center" textRotation="90"/>
      <protection locked="0"/>
    </xf>
    <xf numFmtId="0" fontId="4" fillId="0" borderId="3" xfId="0" applyFont="1" applyBorder="1" applyAlignment="1" applyProtection="1">
      <alignment horizontal="center" vertical="distributed" textRotation="90"/>
      <protection hidden="1"/>
    </xf>
    <xf numFmtId="0" fontId="4" fillId="0" borderId="4" xfId="0" applyFont="1" applyBorder="1" applyAlignment="1" applyProtection="1">
      <alignment horizontal="center" vertical="distributed" textRotation="90"/>
      <protection hidden="1"/>
    </xf>
    <xf numFmtId="0" fontId="1" fillId="0" borderId="8" xfId="0" applyFont="1" applyBorder="1" applyAlignment="1" applyProtection="1">
      <alignment horizontal="center" vertical="center" textRotation="90" wrapText="1"/>
      <protection hidden="1"/>
    </xf>
    <xf numFmtId="0" fontId="24" fillId="0" borderId="5" xfId="0" applyFont="1" applyBorder="1" applyAlignment="1" applyProtection="1">
      <alignment horizontal="center"/>
      <protection locked="0"/>
    </xf>
    <xf numFmtId="0" fontId="24" fillId="0" borderId="20" xfId="0" applyFont="1" applyBorder="1" applyAlignment="1" applyProtection="1">
      <alignment horizontal="center"/>
      <protection locked="0"/>
    </xf>
    <xf numFmtId="0" fontId="19" fillId="0" borderId="4" xfId="0" applyFont="1" applyBorder="1" applyAlignment="1" applyProtection="1">
      <alignment horizontal="center" vertical="distributed" textRotation="90"/>
      <protection locked="0"/>
    </xf>
    <xf numFmtId="0" fontId="19" fillId="0" borderId="8" xfId="0" applyFont="1" applyBorder="1" applyAlignment="1" applyProtection="1">
      <alignment horizontal="center" vertical="distributed" textRotation="90"/>
      <protection locked="0"/>
    </xf>
    <xf numFmtId="0" fontId="19" fillId="0" borderId="7" xfId="0" applyFont="1" applyBorder="1" applyAlignment="1" applyProtection="1">
      <alignment horizontal="center" vertical="distributed" textRotation="90"/>
      <protection locked="0"/>
    </xf>
    <xf numFmtId="9" fontId="4" fillId="0" borderId="4" xfId="0" applyNumberFormat="1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7" fillId="0" borderId="0" xfId="0" applyFont="1" applyAlignment="1" applyProtection="1">
      <alignment horizontal="left" vertical="distributed"/>
      <protection hidden="1"/>
    </xf>
    <xf numFmtId="0" fontId="7" fillId="0" borderId="6" xfId="0" applyFont="1" applyBorder="1" applyAlignment="1" applyProtection="1">
      <alignment horizontal="left" vertical="distributed"/>
      <protection hidden="1"/>
    </xf>
    <xf numFmtId="9" fontId="4" fillId="0" borderId="4" xfId="0" applyNumberFormat="1" applyFont="1" applyBorder="1" applyAlignment="1" applyProtection="1">
      <alignment horizontal="center" vertical="center" textRotation="90"/>
      <protection hidden="1"/>
    </xf>
    <xf numFmtId="0" fontId="4" fillId="0" borderId="8" xfId="0" applyFont="1" applyBorder="1" applyAlignment="1" applyProtection="1">
      <alignment horizontal="center" vertical="center" textRotation="90"/>
      <protection hidden="1"/>
    </xf>
    <xf numFmtId="0" fontId="4" fillId="0" borderId="7" xfId="0" applyFont="1" applyBorder="1" applyAlignment="1" applyProtection="1">
      <alignment horizontal="center" vertical="center" textRotation="90"/>
      <protection hidden="1"/>
    </xf>
    <xf numFmtId="0" fontId="4" fillId="0" borderId="3" xfId="0" applyFont="1" applyBorder="1" applyAlignment="1" applyProtection="1">
      <alignment horizontal="center"/>
      <protection hidden="1"/>
    </xf>
    <xf numFmtId="0" fontId="39" fillId="0" borderId="3" xfId="0" applyFont="1" applyBorder="1" applyAlignment="1" applyProtection="1">
      <alignment horizontal="center"/>
      <protection hidden="1"/>
    </xf>
    <xf numFmtId="0" fontId="39" fillId="0" borderId="5" xfId="0" applyFont="1" applyBorder="1" applyAlignment="1" applyProtection="1">
      <alignment horizontal="center"/>
      <protection hidden="1"/>
    </xf>
    <xf numFmtId="0" fontId="39" fillId="0" borderId="20" xfId="0" applyFont="1" applyBorder="1" applyAlignment="1" applyProtection="1">
      <alignment horizontal="center"/>
      <protection hidden="1"/>
    </xf>
    <xf numFmtId="9" fontId="4" fillId="0" borderId="8" xfId="0" applyNumberFormat="1" applyFont="1" applyBorder="1" applyAlignment="1" applyProtection="1">
      <alignment horizontal="center" vertical="center" textRotation="90"/>
      <protection hidden="1"/>
    </xf>
    <xf numFmtId="0" fontId="11" fillId="0" borderId="22" xfId="0" applyFont="1" applyBorder="1" applyAlignment="1" applyProtection="1">
      <alignment horizontal="center" vertical="center" wrapText="1"/>
      <protection hidden="1"/>
    </xf>
    <xf numFmtId="0" fontId="11" fillId="0" borderId="9" xfId="0" applyFont="1" applyBorder="1" applyAlignment="1" applyProtection="1">
      <alignment horizontal="center" vertical="center" wrapText="1"/>
      <protection hidden="1"/>
    </xf>
    <xf numFmtId="0" fontId="11" fillId="0" borderId="23" xfId="0" applyFont="1" applyBorder="1" applyAlignment="1" applyProtection="1">
      <alignment horizontal="center" vertical="center" wrapText="1"/>
      <protection hidden="1"/>
    </xf>
    <xf numFmtId="0" fontId="11" fillId="0" borderId="21" xfId="0" applyFont="1" applyBorder="1" applyAlignment="1" applyProtection="1">
      <alignment horizontal="center" vertical="center" wrapText="1"/>
      <protection hidden="1"/>
    </xf>
    <xf numFmtId="0" fontId="11" fillId="0" borderId="5" xfId="0" applyFont="1" applyBorder="1" applyAlignment="1" applyProtection="1">
      <alignment horizontal="center" vertical="center" wrapText="1"/>
      <protection hidden="1"/>
    </xf>
    <xf numFmtId="0" fontId="11" fillId="0" borderId="20" xfId="0" applyFont="1" applyBorder="1" applyAlignment="1" applyProtection="1">
      <alignment horizontal="center" vertical="center" wrapText="1"/>
      <protection hidden="1"/>
    </xf>
    <xf numFmtId="9" fontId="23" fillId="0" borderId="4" xfId="0" applyNumberFormat="1" applyFont="1" applyBorder="1" applyAlignment="1" applyProtection="1">
      <alignment horizontal="center" vertical="center" textRotation="90"/>
      <protection hidden="1"/>
    </xf>
    <xf numFmtId="9" fontId="23" fillId="0" borderId="8" xfId="0" applyNumberFormat="1" applyFont="1" applyBorder="1" applyAlignment="1" applyProtection="1">
      <alignment horizontal="center" vertical="center" textRotation="90"/>
      <protection hidden="1"/>
    </xf>
    <xf numFmtId="0" fontId="4" fillId="0" borderId="3" xfId="0" applyFont="1" applyBorder="1" applyAlignment="1" applyProtection="1">
      <alignment horizontal="center" vertical="distributed"/>
      <protection hidden="1"/>
    </xf>
    <xf numFmtId="0" fontId="1" fillId="0" borderId="8" xfId="0" applyFont="1" applyBorder="1" applyAlignment="1" applyProtection="1">
      <alignment horizontal="center" vertical="distributed" textRotation="90"/>
      <protection hidden="1"/>
    </xf>
    <xf numFmtId="0" fontId="45" fillId="0" borderId="5" xfId="0" applyFont="1" applyBorder="1" applyAlignment="1" applyProtection="1">
      <alignment horizontal="center" vertical="center" wrapText="1"/>
      <protection hidden="1"/>
    </xf>
    <xf numFmtId="170" fontId="5" fillId="0" borderId="8" xfId="0" applyNumberFormat="1" applyFont="1" applyBorder="1" applyAlignment="1" applyProtection="1">
      <alignment horizontal="center" vertical="center" textRotation="255"/>
      <protection locked="0"/>
    </xf>
    <xf numFmtId="170" fontId="5" fillId="0" borderId="7" xfId="0" applyNumberFormat="1" applyFont="1" applyBorder="1" applyAlignment="1" applyProtection="1">
      <alignment horizontal="center" vertical="center" textRotation="255"/>
      <protection locked="0"/>
    </xf>
    <xf numFmtId="0" fontId="26" fillId="0" borderId="19" xfId="0" applyFont="1" applyBorder="1" applyAlignment="1" applyProtection="1">
      <alignment horizontal="left" vertical="center"/>
      <protection hidden="1"/>
    </xf>
    <xf numFmtId="0" fontId="29" fillId="0" borderId="6" xfId="3" applyFont="1" applyBorder="1" applyAlignment="1" applyProtection="1">
      <alignment horizontal="center" vertical="center" wrapText="1"/>
      <protection locked="0"/>
    </xf>
    <xf numFmtId="0" fontId="29" fillId="0" borderId="20" xfId="3" applyFont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distributed" textRotation="90"/>
      <protection hidden="1"/>
    </xf>
    <xf numFmtId="0" fontId="26" fillId="3" borderId="0" xfId="0" applyFont="1" applyFill="1" applyAlignment="1" applyProtection="1">
      <alignment horizontal="center" vertical="distributed" textRotation="90"/>
      <protection hidden="1"/>
    </xf>
    <xf numFmtId="0" fontId="26" fillId="3" borderId="5" xfId="0" applyFont="1" applyFill="1" applyBorder="1" applyAlignment="1" applyProtection="1">
      <alignment horizontal="center" vertical="distributed" textRotation="90"/>
      <protection hidden="1"/>
    </xf>
    <xf numFmtId="0" fontId="33" fillId="2" borderId="10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13" xfId="0" applyFont="1" applyBorder="1" applyAlignment="1" applyProtection="1">
      <alignment horizontal="center" vertical="center"/>
      <protection hidden="1"/>
    </xf>
    <xf numFmtId="0" fontId="26" fillId="0" borderId="14" xfId="0" applyFont="1" applyBorder="1" applyAlignment="1" applyProtection="1">
      <alignment horizontal="center" vertical="center"/>
      <protection hidden="1"/>
    </xf>
    <xf numFmtId="0" fontId="27" fillId="0" borderId="14" xfId="0" applyFont="1" applyBorder="1" applyAlignment="1" applyProtection="1">
      <alignment horizontal="left" vertical="center"/>
      <protection hidden="1"/>
    </xf>
    <xf numFmtId="0" fontId="27" fillId="0" borderId="18" xfId="0" applyFont="1" applyBorder="1" applyAlignment="1" applyProtection="1">
      <alignment horizontal="left" vertical="center"/>
      <protection hidden="1"/>
    </xf>
    <xf numFmtId="0" fontId="27" fillId="0" borderId="16" xfId="0" applyFont="1" applyBorder="1" applyAlignment="1" applyProtection="1">
      <alignment horizontal="left" vertical="center"/>
      <protection hidden="1"/>
    </xf>
    <xf numFmtId="0" fontId="27" fillId="0" borderId="17" xfId="0" applyFont="1" applyBorder="1" applyAlignment="1" applyProtection="1">
      <alignment horizontal="left" vertical="center"/>
      <protection hidden="1"/>
    </xf>
  </cellXfs>
  <cellStyles count="4">
    <cellStyle name="Normal" xfId="0" builtinId="0"/>
    <cellStyle name="Normal_1RO A" xfId="1" xr:uid="{24058F25-C2F8-466D-AFC3-031F87AE4BD7}"/>
    <cellStyle name="Normal_1RO B" xfId="2" xr:uid="{2E66F147-FF4D-465F-A3FA-6AEEC30277D3}"/>
    <cellStyle name="Normal_Hoja1" xfId="3" xr:uid="{1554134D-1C65-4F00-B166-EFE2B998000E}"/>
  </cellStyles>
  <dxfs count="101">
    <dxf>
      <font>
        <color rgb="FF9C0006"/>
      </font>
    </dxf>
    <dxf>
      <border>
        <bottom style="thin">
          <color auto="1"/>
        </bottom>
        <vertical/>
        <horizontal/>
      </border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left/>
        <right/>
        <top/>
        <bottom/>
        <vertical/>
        <horizontal/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bottom style="thin">
          <color auto="1"/>
        </bottom>
        <vertical/>
        <horizontal/>
      </border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left/>
        <right/>
        <top/>
        <bottom/>
        <vertical/>
        <horizontal/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bottom style="thin">
          <color auto="1"/>
        </bottom>
        <vertical/>
        <horizontal/>
      </border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left/>
        <right/>
        <top/>
        <bottom/>
        <vertical/>
        <horizontal/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bottom style="thin">
          <color auto="1"/>
        </bottom>
        <vertical/>
        <horizontal/>
      </border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left/>
        <right/>
        <top/>
        <bottom/>
        <vertical/>
        <horizontal/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bottom style="thin">
          <color auto="1"/>
        </bottom>
        <vertical/>
        <horizontal/>
      </border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left/>
        <right/>
        <top/>
        <bottom/>
        <vertical/>
        <horizontal/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6" tint="0.79998168889431442"/>
        </patternFill>
      </fill>
    </dxf>
  </dxfs>
  <tableStyles count="1" defaultTableStyle="TableStyleMedium2" defaultPivotStyle="PivotStyleLight16">
    <tableStyle name="Estilo de tabla 1" pivot="0" count="1" xr9:uid="{5796901A-7394-4458-ADD5-A1719280AE15}">
      <tableStyleElement type="firstColumn" dxfId="1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57855</xdr:colOff>
      <xdr:row>0</xdr:row>
      <xdr:rowOff>122062</xdr:rowOff>
    </xdr:from>
    <xdr:to>
      <xdr:col>1</xdr:col>
      <xdr:colOff>1031876</xdr:colOff>
      <xdr:row>4</xdr:row>
      <xdr:rowOff>331963</xdr:rowOff>
    </xdr:to>
    <xdr:pic>
      <xdr:nvPicPr>
        <xdr:cNvPr id="27692" name="Imagen 1" descr="http://profile.ak.fbcdn.net/hprofile-ak-snc4/161389_100003490005174_1368526830_n.jpg">
          <a:extLst>
            <a:ext uri="{FF2B5EF4-FFF2-40B4-BE49-F238E27FC236}">
              <a16:creationId xmlns:a16="http://schemas.microsoft.com/office/drawing/2014/main" id="{2AD1AA0B-8A12-B2AB-F694-82A17613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55" y="122062"/>
          <a:ext cx="1878896" cy="1368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23393</xdr:colOff>
      <xdr:row>1</xdr:row>
      <xdr:rowOff>0</xdr:rowOff>
    </xdr:from>
    <xdr:ext cx="1500607" cy="1260510"/>
    <xdr:pic>
      <xdr:nvPicPr>
        <xdr:cNvPr id="2" name="Imagen 1">
          <a:extLst>
            <a:ext uri="{FF2B5EF4-FFF2-40B4-BE49-F238E27FC236}">
              <a16:creationId xmlns:a16="http://schemas.microsoft.com/office/drawing/2014/main" id="{0C0A2022-87FD-4FFD-B086-A7A59B1D3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" y="0"/>
          <a:ext cx="1500607" cy="12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974021</xdr:colOff>
      <xdr:row>4</xdr:row>
      <xdr:rowOff>257526</xdr:rowOff>
    </xdr:to>
    <xdr:pic>
      <xdr:nvPicPr>
        <xdr:cNvPr id="3" name="Imagen 1" descr="http://profile.ak.fbcdn.net/hprofile-ak-snc4/161389_100003490005174_1368526830_n.jpg">
          <a:extLst>
            <a:ext uri="{FF2B5EF4-FFF2-40B4-BE49-F238E27FC236}">
              <a16:creationId xmlns:a16="http://schemas.microsoft.com/office/drawing/2014/main" id="{98A16111-EF43-4601-8E7A-A92525DDB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878896" cy="1368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23393</xdr:colOff>
      <xdr:row>1</xdr:row>
      <xdr:rowOff>0</xdr:rowOff>
    </xdr:from>
    <xdr:ext cx="1500607" cy="1260510"/>
    <xdr:pic>
      <xdr:nvPicPr>
        <xdr:cNvPr id="2" name="Imagen 1">
          <a:extLst>
            <a:ext uri="{FF2B5EF4-FFF2-40B4-BE49-F238E27FC236}">
              <a16:creationId xmlns:a16="http://schemas.microsoft.com/office/drawing/2014/main" id="{16895269-AB43-45D4-A1EE-533B05F5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" y="9525"/>
          <a:ext cx="1500607" cy="12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31750</xdr:rowOff>
    </xdr:from>
    <xdr:to>
      <xdr:col>1</xdr:col>
      <xdr:colOff>1005771</xdr:colOff>
      <xdr:row>4</xdr:row>
      <xdr:rowOff>241651</xdr:rowOff>
    </xdr:to>
    <xdr:pic>
      <xdr:nvPicPr>
        <xdr:cNvPr id="3" name="Imagen 1" descr="http://profile.ak.fbcdn.net/hprofile-ak-snc4/161389_100003490005174_1368526830_n.jpg">
          <a:extLst>
            <a:ext uri="{FF2B5EF4-FFF2-40B4-BE49-F238E27FC236}">
              <a16:creationId xmlns:a16="http://schemas.microsoft.com/office/drawing/2014/main" id="{363066EF-CFB4-4174-BDC1-1C51853A0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1750"/>
          <a:ext cx="1878896" cy="1368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23393</xdr:colOff>
      <xdr:row>1</xdr:row>
      <xdr:rowOff>0</xdr:rowOff>
    </xdr:from>
    <xdr:ext cx="1500607" cy="1260510"/>
    <xdr:pic>
      <xdr:nvPicPr>
        <xdr:cNvPr id="2" name="Imagen 1">
          <a:extLst>
            <a:ext uri="{FF2B5EF4-FFF2-40B4-BE49-F238E27FC236}">
              <a16:creationId xmlns:a16="http://schemas.microsoft.com/office/drawing/2014/main" id="{A0FDE2F3-CCDD-4300-9ED8-CA8936C55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" y="9525"/>
          <a:ext cx="1500607" cy="12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31750</xdr:rowOff>
    </xdr:from>
    <xdr:to>
      <xdr:col>1</xdr:col>
      <xdr:colOff>1005771</xdr:colOff>
      <xdr:row>4</xdr:row>
      <xdr:rowOff>241651</xdr:rowOff>
    </xdr:to>
    <xdr:pic>
      <xdr:nvPicPr>
        <xdr:cNvPr id="3" name="Imagen 1" descr="http://profile.ak.fbcdn.net/hprofile-ak-snc4/161389_100003490005174_1368526830_n.jpg">
          <a:extLst>
            <a:ext uri="{FF2B5EF4-FFF2-40B4-BE49-F238E27FC236}">
              <a16:creationId xmlns:a16="http://schemas.microsoft.com/office/drawing/2014/main" id="{13A0A6BD-ACD1-4A34-A88B-8ECD12B1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1750"/>
          <a:ext cx="1878896" cy="1368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23393</xdr:colOff>
      <xdr:row>1</xdr:row>
      <xdr:rowOff>0</xdr:rowOff>
    </xdr:from>
    <xdr:ext cx="1500607" cy="1260510"/>
    <xdr:pic>
      <xdr:nvPicPr>
        <xdr:cNvPr id="2" name="Imagen 1">
          <a:extLst>
            <a:ext uri="{FF2B5EF4-FFF2-40B4-BE49-F238E27FC236}">
              <a16:creationId xmlns:a16="http://schemas.microsoft.com/office/drawing/2014/main" id="{DFA426E8-B4A5-43B0-9A33-C30A92867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" y="9525"/>
          <a:ext cx="1500607" cy="12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31750</xdr:rowOff>
    </xdr:from>
    <xdr:to>
      <xdr:col>1</xdr:col>
      <xdr:colOff>1005771</xdr:colOff>
      <xdr:row>4</xdr:row>
      <xdr:rowOff>241651</xdr:rowOff>
    </xdr:to>
    <xdr:pic>
      <xdr:nvPicPr>
        <xdr:cNvPr id="3" name="Imagen 1" descr="http://profile.ak.fbcdn.net/hprofile-ak-snc4/161389_100003490005174_1368526830_n.jpg">
          <a:extLst>
            <a:ext uri="{FF2B5EF4-FFF2-40B4-BE49-F238E27FC236}">
              <a16:creationId xmlns:a16="http://schemas.microsoft.com/office/drawing/2014/main" id="{C728B3BD-B6ED-4D4D-B0A4-A99A53E9D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1750"/>
          <a:ext cx="1878896" cy="1368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23393</xdr:colOff>
      <xdr:row>1</xdr:row>
      <xdr:rowOff>0</xdr:rowOff>
    </xdr:from>
    <xdr:ext cx="1500607" cy="1260510"/>
    <xdr:pic>
      <xdr:nvPicPr>
        <xdr:cNvPr id="2" name="Imagen 1">
          <a:extLst>
            <a:ext uri="{FF2B5EF4-FFF2-40B4-BE49-F238E27FC236}">
              <a16:creationId xmlns:a16="http://schemas.microsoft.com/office/drawing/2014/main" id="{685A7657-4896-406C-ADD0-7E98AA948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" y="9525"/>
          <a:ext cx="1500607" cy="12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Horizon">
      <a:majorFont>
        <a:latin typeface="Arial Narrow"/>
        <a:ea typeface=""/>
        <a:cs typeface=""/>
        <a:font script="Jpan" typeface="HGｺﾞｼｯｸM"/>
        <a:font script="Hang" typeface="HY얕은샘물M"/>
        <a:font script="Hans" typeface="方正姚体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Arial Narrow"/>
        <a:ea typeface=""/>
        <a:cs typeface=""/>
        <a:font script="Jpan" typeface="HGｺﾞｼｯｸM"/>
        <a:font script="Hang" typeface="HY얕은샘물M"/>
        <a:font script="Hans" typeface="方正姚体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F797-199C-4215-BBC6-E4C65B97B268}">
  <sheetPr>
    <pageSetUpPr autoPageBreaks="0"/>
  </sheetPr>
  <dimension ref="A1:X53"/>
  <sheetViews>
    <sheetView tabSelected="1" view="pageBreakPreview" zoomScale="60" zoomScaleNormal="60" zoomScalePageLayoutView="80" workbookViewId="0">
      <pane ySplit="11" topLeftCell="A12" activePane="bottomLeft" state="frozen"/>
      <selection activeCell="M14" sqref="M14"/>
      <selection pane="bottomLeft" activeCell="C13" sqref="C13"/>
    </sheetView>
  </sheetViews>
  <sheetFormatPr baseColWidth="10" defaultColWidth="11.42578125" defaultRowHeight="16.5" x14ac:dyDescent="0.3"/>
  <cols>
    <col min="1" max="1" width="13.5703125" style="1" customWidth="1"/>
    <col min="2" max="2" width="64.140625" style="2" customWidth="1"/>
    <col min="3" max="12" width="8.7109375" style="1" customWidth="1"/>
    <col min="13" max="14" width="7.42578125" style="1" customWidth="1"/>
    <col min="15" max="15" width="10.140625" style="1" customWidth="1"/>
    <col min="16" max="16" width="7.140625" customWidth="1"/>
    <col min="17" max="18" width="7.7109375" customWidth="1"/>
    <col min="19" max="19" width="9.5703125" customWidth="1"/>
    <col min="20" max="20" width="10.42578125" customWidth="1"/>
    <col min="21" max="22" width="7.42578125" customWidth="1"/>
    <col min="23" max="23" width="7.140625" customWidth="1"/>
    <col min="24" max="24" width="39.42578125" customWidth="1"/>
  </cols>
  <sheetData>
    <row r="1" spans="1:24" ht="29.25" customHeight="1" x14ac:dyDescent="0.35">
      <c r="A1" s="3"/>
      <c r="B1" s="4"/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6" t="s">
        <v>27</v>
      </c>
      <c r="U1" s="107"/>
      <c r="V1" s="107"/>
      <c r="W1" s="107"/>
      <c r="X1" s="107"/>
    </row>
    <row r="2" spans="1:24" ht="14.1" customHeight="1" x14ac:dyDescent="0.3">
      <c r="A2" s="3"/>
      <c r="B2" s="4"/>
      <c r="C2" s="111" t="s">
        <v>26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  <c r="P2" s="117" t="s">
        <v>24</v>
      </c>
      <c r="Q2" s="119" t="s">
        <v>2</v>
      </c>
      <c r="R2" s="119"/>
      <c r="S2" s="119"/>
      <c r="T2" s="120" t="s">
        <v>3</v>
      </c>
      <c r="U2" s="84" t="s">
        <v>4</v>
      </c>
      <c r="V2" s="84" t="s">
        <v>5</v>
      </c>
      <c r="W2" s="44"/>
      <c r="X2" s="87" t="s">
        <v>6</v>
      </c>
    </row>
    <row r="3" spans="1:24" ht="20.100000000000001" customHeight="1" x14ac:dyDescent="0.3">
      <c r="A3" s="5"/>
      <c r="B3" s="51" t="s">
        <v>7</v>
      </c>
      <c r="C3" s="114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  <c r="P3" s="118"/>
      <c r="Q3" s="119"/>
      <c r="R3" s="119"/>
      <c r="S3" s="119"/>
      <c r="T3" s="120"/>
      <c r="U3" s="85"/>
      <c r="V3" s="85"/>
      <c r="W3" s="92" t="s">
        <v>1</v>
      </c>
      <c r="X3" s="87"/>
    </row>
    <row r="4" spans="1:24" ht="28.5" customHeight="1" x14ac:dyDescent="0.3">
      <c r="A4" s="6"/>
      <c r="B4" s="51" t="s">
        <v>8</v>
      </c>
      <c r="C4" s="95" t="s">
        <v>29</v>
      </c>
      <c r="D4" s="98">
        <f t="array" ref="D4">TRANSPOSE(D11)%</f>
        <v>0.1</v>
      </c>
      <c r="E4" s="95" t="s">
        <v>38</v>
      </c>
      <c r="F4" s="98">
        <f t="array" ref="F4">TRANSPOSE(F11)%</f>
        <v>0.05</v>
      </c>
      <c r="G4" s="95"/>
      <c r="H4" s="98" cm="1">
        <f t="array" ref="H4">TRANSPOSE(H11)%</f>
        <v>0</v>
      </c>
      <c r="I4" s="95"/>
      <c r="J4" s="98" cm="1">
        <f t="array" ref="J4">TRANSPOSE(J11)%</f>
        <v>0</v>
      </c>
      <c r="K4" s="95"/>
      <c r="L4" s="103" cm="1">
        <f t="array" ref="L4">TRANSPOSE(L11)%</f>
        <v>0</v>
      </c>
      <c r="M4" s="95"/>
      <c r="N4" s="103" cm="1">
        <f t="array" ref="N4">TRANSPOSE(N11)%</f>
        <v>0</v>
      </c>
      <c r="O4" s="13" t="s">
        <v>9</v>
      </c>
      <c r="P4" s="118"/>
      <c r="Q4" s="88" t="s">
        <v>10</v>
      </c>
      <c r="R4" s="88" t="s">
        <v>11</v>
      </c>
      <c r="S4" s="90" t="s">
        <v>12</v>
      </c>
      <c r="T4" s="120"/>
      <c r="U4" s="85"/>
      <c r="V4" s="85"/>
      <c r="W4" s="92"/>
      <c r="X4" s="87"/>
    </row>
    <row r="5" spans="1:24" ht="45" customHeight="1" x14ac:dyDescent="0.3">
      <c r="A5" s="101"/>
      <c r="B5" s="102"/>
      <c r="C5" s="96"/>
      <c r="D5" s="99"/>
      <c r="E5" s="96"/>
      <c r="F5" s="99"/>
      <c r="G5" s="96"/>
      <c r="H5" s="99"/>
      <c r="I5" s="96"/>
      <c r="J5" s="99"/>
      <c r="K5" s="96"/>
      <c r="L5" s="104"/>
      <c r="M5" s="96"/>
      <c r="N5" s="104"/>
      <c r="O5" s="14">
        <f>SUM(D11,F11,H11,J11,L11,N11)</f>
        <v>15</v>
      </c>
      <c r="P5" s="118"/>
      <c r="Q5" s="88"/>
      <c r="R5" s="88"/>
      <c r="S5" s="90"/>
      <c r="T5" s="120"/>
      <c r="U5" s="85"/>
      <c r="V5" s="85"/>
      <c r="W5" s="92"/>
      <c r="X5" s="87"/>
    </row>
    <row r="6" spans="1:24" ht="25.5" customHeight="1" x14ac:dyDescent="0.3">
      <c r="A6" s="52" t="s">
        <v>33</v>
      </c>
      <c r="B6" s="15"/>
      <c r="C6" s="96"/>
      <c r="D6" s="99"/>
      <c r="E6" s="96"/>
      <c r="F6" s="99"/>
      <c r="G6" s="96"/>
      <c r="H6" s="99"/>
      <c r="I6" s="96"/>
      <c r="J6" s="99"/>
      <c r="K6" s="96"/>
      <c r="L6" s="104"/>
      <c r="M6" s="96"/>
      <c r="N6" s="104"/>
      <c r="O6" s="103" t="s">
        <v>13</v>
      </c>
      <c r="P6" s="118"/>
      <c r="Q6" s="88"/>
      <c r="R6" s="88"/>
      <c r="S6" s="90"/>
      <c r="T6" s="120"/>
      <c r="U6" s="85"/>
      <c r="V6" s="85"/>
      <c r="W6" s="92"/>
      <c r="X6" s="87"/>
    </row>
    <row r="7" spans="1:24" ht="25.5" customHeight="1" x14ac:dyDescent="0.3">
      <c r="A7" s="52" t="s">
        <v>34</v>
      </c>
      <c r="B7" s="53" t="s">
        <v>41</v>
      </c>
      <c r="C7" s="96"/>
      <c r="D7" s="99"/>
      <c r="E7" s="96"/>
      <c r="F7" s="99"/>
      <c r="G7" s="96"/>
      <c r="H7" s="99"/>
      <c r="I7" s="96"/>
      <c r="J7" s="99"/>
      <c r="K7" s="96"/>
      <c r="L7" s="104"/>
      <c r="M7" s="96"/>
      <c r="N7" s="104"/>
      <c r="O7" s="110"/>
      <c r="P7" s="118"/>
      <c r="Q7" s="88"/>
      <c r="R7" s="88"/>
      <c r="S7" s="90"/>
      <c r="T7" s="120"/>
      <c r="U7" s="85"/>
      <c r="V7" s="85"/>
      <c r="W7" s="92"/>
      <c r="X7" s="87"/>
    </row>
    <row r="8" spans="1:24" ht="25.5" customHeight="1" x14ac:dyDescent="0.3">
      <c r="A8" s="52" t="s">
        <v>35</v>
      </c>
      <c r="B8" s="53" t="s">
        <v>37</v>
      </c>
      <c r="C8" s="96"/>
      <c r="D8" s="99"/>
      <c r="E8" s="96"/>
      <c r="F8" s="99"/>
      <c r="G8" s="96"/>
      <c r="H8" s="99"/>
      <c r="I8" s="96"/>
      <c r="J8" s="99"/>
      <c r="K8" s="96"/>
      <c r="L8" s="104"/>
      <c r="M8" s="96"/>
      <c r="N8" s="104"/>
      <c r="O8" s="110"/>
      <c r="P8" s="118"/>
      <c r="Q8" s="88"/>
      <c r="R8" s="88"/>
      <c r="S8" s="90"/>
      <c r="T8" s="120"/>
      <c r="U8" s="85"/>
      <c r="V8" s="85"/>
      <c r="W8" s="92"/>
      <c r="X8" s="87"/>
    </row>
    <row r="9" spans="1:24" ht="25.5" customHeight="1" x14ac:dyDescent="0.3">
      <c r="A9" s="52" t="s">
        <v>36</v>
      </c>
      <c r="B9" s="15" t="s">
        <v>38</v>
      </c>
      <c r="C9" s="96"/>
      <c r="D9" s="99"/>
      <c r="E9" s="96"/>
      <c r="F9" s="99"/>
      <c r="G9" s="96"/>
      <c r="H9" s="99"/>
      <c r="I9" s="96"/>
      <c r="J9" s="99"/>
      <c r="K9" s="96"/>
      <c r="L9" s="104"/>
      <c r="M9" s="96"/>
      <c r="N9" s="104"/>
      <c r="O9" s="110"/>
      <c r="P9" s="118"/>
      <c r="Q9" s="88"/>
      <c r="R9" s="88"/>
      <c r="S9" s="90"/>
      <c r="T9" s="120"/>
      <c r="U9" s="85"/>
      <c r="V9" s="85"/>
      <c r="W9" s="92"/>
      <c r="X9" s="87"/>
    </row>
    <row r="10" spans="1:24" ht="20.25" x14ac:dyDescent="0.3">
      <c r="A10" s="93" t="s">
        <v>30</v>
      </c>
      <c r="B10" s="94"/>
      <c r="C10" s="97"/>
      <c r="D10" s="100"/>
      <c r="E10" s="97"/>
      <c r="F10" s="100"/>
      <c r="G10" s="97"/>
      <c r="H10" s="100"/>
      <c r="I10" s="97"/>
      <c r="J10" s="100"/>
      <c r="K10" s="97"/>
      <c r="L10" s="105"/>
      <c r="M10" s="97"/>
      <c r="N10" s="105"/>
      <c r="O10" s="110"/>
      <c r="P10" s="118"/>
      <c r="Q10" s="88"/>
      <c r="R10" s="88"/>
      <c r="S10" s="90"/>
      <c r="T10" s="120"/>
      <c r="U10" s="85"/>
      <c r="V10" s="85"/>
      <c r="W10" s="92"/>
      <c r="X10" s="87"/>
    </row>
    <row r="11" spans="1:24" s="10" customFormat="1" ht="30.75" customHeight="1" thickBot="1" x14ac:dyDescent="0.4">
      <c r="A11" s="40" t="s">
        <v>14</v>
      </c>
      <c r="B11" s="41" t="s">
        <v>15</v>
      </c>
      <c r="C11" s="70" t="s">
        <v>16</v>
      </c>
      <c r="D11" s="71">
        <v>10</v>
      </c>
      <c r="E11" s="70" t="s">
        <v>16</v>
      </c>
      <c r="F11" s="71">
        <v>5</v>
      </c>
      <c r="G11" s="70" t="s">
        <v>16</v>
      </c>
      <c r="H11" s="71"/>
      <c r="I11" s="70" t="s">
        <v>16</v>
      </c>
      <c r="J11" s="71"/>
      <c r="K11" s="70" t="s">
        <v>16</v>
      </c>
      <c r="L11" s="71"/>
      <c r="M11" s="70" t="s">
        <v>16</v>
      </c>
      <c r="N11" s="71"/>
      <c r="O11" s="110"/>
      <c r="P11" s="118"/>
      <c r="Q11" s="89"/>
      <c r="R11" s="89"/>
      <c r="S11" s="91"/>
      <c r="T11" s="120"/>
      <c r="U11" s="86"/>
      <c r="V11" s="86"/>
      <c r="W11" s="92"/>
      <c r="X11" s="87"/>
    </row>
    <row r="12" spans="1:24" s="12" customFormat="1" ht="55.5" customHeight="1" thickBot="1" x14ac:dyDescent="0.35">
      <c r="A12" s="66">
        <v>1</v>
      </c>
      <c r="B12" s="78" t="s">
        <v>46</v>
      </c>
      <c r="C12" s="30"/>
      <c r="D12" s="31">
        <f t="shared" ref="D12:D47" si="0">N(C12)*($D$11)/100</f>
        <v>0</v>
      </c>
      <c r="E12" s="30"/>
      <c r="F12" s="31">
        <f t="shared" ref="F12:F47" si="1">N(E12)*($F$11)/100</f>
        <v>0</v>
      </c>
      <c r="G12" s="30"/>
      <c r="H12" s="31">
        <f t="shared" ref="H12:H47" si="2">N(G12)*($H$11)/100</f>
        <v>0</v>
      </c>
      <c r="I12" s="30"/>
      <c r="J12" s="31">
        <f t="shared" ref="J12:J47" si="3">N(I12)*($J$11)/100</f>
        <v>0</v>
      </c>
      <c r="K12" s="30"/>
      <c r="L12" s="31">
        <f t="shared" ref="L12:L47" si="4">N(K12)*($L$11)/100</f>
        <v>0</v>
      </c>
      <c r="M12" s="30"/>
      <c r="N12" s="31">
        <f>N(M12)*($N$11)/100</f>
        <v>0</v>
      </c>
      <c r="O12" s="42">
        <f>SUM(D12,F12,H12,J12,L12,N12)</f>
        <v>0</v>
      </c>
      <c r="P12" s="50"/>
      <c r="Q12" s="37"/>
      <c r="R12" s="37"/>
      <c r="S12" s="36">
        <f>SUM(IFERROR(VALUE(SUBSTITUTE(P12,".",",")), N(P12)),IFERROR(VALUE(SUBSTITUTE(Q12,".",",")), N(Q12)),IFERROR(VALUE(SUBSTITUTE(R12,".",",")), N(R12)))</f>
        <v>0</v>
      </c>
      <c r="T12" s="43">
        <f>SUM(O12,S12)</f>
        <v>0</v>
      </c>
      <c r="U12" s="67">
        <f>T12</f>
        <v>0</v>
      </c>
      <c r="V12" s="45"/>
      <c r="W12" s="83" cm="1">
        <f t="array" ref="W12">TRANSPOSE('ASISTENCIA A'!AI9)</f>
        <v>6</v>
      </c>
      <c r="X12" s="33"/>
    </row>
    <row r="13" spans="1:24" s="12" customFormat="1" ht="55.5" customHeight="1" thickBot="1" x14ac:dyDescent="0.35">
      <c r="A13" s="66">
        <f t="shared" ref="A13:A47" si="5">IF(B13&lt;&gt;"",A12 + 1, "")</f>
        <v>2</v>
      </c>
      <c r="B13" s="79" t="s">
        <v>47</v>
      </c>
      <c r="C13" s="30"/>
      <c r="D13" s="31">
        <f t="shared" si="0"/>
        <v>0</v>
      </c>
      <c r="E13" s="30"/>
      <c r="F13" s="31">
        <f t="shared" si="1"/>
        <v>0</v>
      </c>
      <c r="G13" s="30"/>
      <c r="H13" s="31">
        <f t="shared" si="2"/>
        <v>0</v>
      </c>
      <c r="I13" s="30"/>
      <c r="J13" s="31">
        <f t="shared" si="3"/>
        <v>0</v>
      </c>
      <c r="K13" s="30"/>
      <c r="L13" s="31">
        <f t="shared" si="4"/>
        <v>0</v>
      </c>
      <c r="M13" s="30"/>
      <c r="N13" s="31">
        <f t="shared" ref="N13:N47" si="6">N(M13)*($N$11)/100</f>
        <v>0</v>
      </c>
      <c r="O13" s="42">
        <f t="shared" ref="O13:O47" si="7">SUM(D13,F13,H13,J13,L13,N13)</f>
        <v>0</v>
      </c>
      <c r="P13" s="50"/>
      <c r="Q13" s="39"/>
      <c r="R13" s="39"/>
      <c r="S13" s="36">
        <f t="shared" ref="S13:S47" si="8">SUM(IFERROR(VALUE(SUBSTITUTE(P13,".",",")), N(P13)),IFERROR(VALUE(SUBSTITUTE(Q13,".",",")), N(Q13)),IFERROR(VALUE(SUBSTITUTE(R13,".",",")), N(R13)))</f>
        <v>0</v>
      </c>
      <c r="T13" s="43">
        <f t="shared" ref="T13:T47" si="9">SUM(O13,S13)</f>
        <v>0</v>
      </c>
      <c r="U13" s="67">
        <f t="shared" ref="U13:U47" si="10">T13</f>
        <v>0</v>
      </c>
      <c r="V13" s="45"/>
      <c r="W13" s="83" cm="1">
        <f t="array" ref="W13">TRANSPOSE('ASISTENCIA A'!AI10)</f>
        <v>0</v>
      </c>
      <c r="X13" s="33"/>
    </row>
    <row r="14" spans="1:24" s="12" customFormat="1" ht="55.5" customHeight="1" thickBot="1" x14ac:dyDescent="0.35">
      <c r="A14" s="66">
        <f t="shared" si="5"/>
        <v>3</v>
      </c>
      <c r="B14" s="79" t="s">
        <v>48</v>
      </c>
      <c r="C14" s="30"/>
      <c r="D14" s="31">
        <f t="shared" si="0"/>
        <v>0</v>
      </c>
      <c r="E14" s="30"/>
      <c r="F14" s="31">
        <f t="shared" si="1"/>
        <v>0</v>
      </c>
      <c r="G14" s="30"/>
      <c r="H14" s="31">
        <f t="shared" si="2"/>
        <v>0</v>
      </c>
      <c r="I14" s="30"/>
      <c r="J14" s="31">
        <f t="shared" si="3"/>
        <v>0</v>
      </c>
      <c r="K14" s="30"/>
      <c r="L14" s="31">
        <f t="shared" si="4"/>
        <v>0</v>
      </c>
      <c r="M14" s="30"/>
      <c r="N14" s="31">
        <f t="shared" si="6"/>
        <v>0</v>
      </c>
      <c r="O14" s="42">
        <f t="shared" si="7"/>
        <v>0</v>
      </c>
      <c r="P14" s="50"/>
      <c r="Q14" s="39"/>
      <c r="R14" s="37"/>
      <c r="S14" s="36">
        <f t="shared" si="8"/>
        <v>0</v>
      </c>
      <c r="T14" s="43">
        <f t="shared" si="9"/>
        <v>0</v>
      </c>
      <c r="U14" s="67">
        <f t="shared" si="10"/>
        <v>0</v>
      </c>
      <c r="V14" s="45"/>
      <c r="W14" s="83" cm="1">
        <f t="array" ref="W14">TRANSPOSE('ASISTENCIA A'!AI11)</f>
        <v>0</v>
      </c>
      <c r="X14" s="33"/>
    </row>
    <row r="15" spans="1:24" s="12" customFormat="1" ht="55.5" customHeight="1" thickBot="1" x14ac:dyDescent="0.35">
      <c r="A15" s="66">
        <f t="shared" si="5"/>
        <v>4</v>
      </c>
      <c r="B15" s="79" t="s">
        <v>49</v>
      </c>
      <c r="C15" s="30"/>
      <c r="D15" s="31">
        <f t="shared" si="0"/>
        <v>0</v>
      </c>
      <c r="E15" s="30"/>
      <c r="F15" s="31">
        <f t="shared" si="1"/>
        <v>0</v>
      </c>
      <c r="G15" s="30"/>
      <c r="H15" s="31">
        <f t="shared" si="2"/>
        <v>0</v>
      </c>
      <c r="I15" s="30"/>
      <c r="J15" s="31">
        <f t="shared" si="3"/>
        <v>0</v>
      </c>
      <c r="K15" s="30"/>
      <c r="L15" s="31">
        <f t="shared" si="4"/>
        <v>0</v>
      </c>
      <c r="M15" s="30"/>
      <c r="N15" s="31">
        <f t="shared" si="6"/>
        <v>0</v>
      </c>
      <c r="O15" s="42">
        <f t="shared" si="7"/>
        <v>0</v>
      </c>
      <c r="P15" s="50"/>
      <c r="Q15" s="39"/>
      <c r="R15" s="39"/>
      <c r="S15" s="36">
        <f t="shared" si="8"/>
        <v>0</v>
      </c>
      <c r="T15" s="43">
        <f t="shared" si="9"/>
        <v>0</v>
      </c>
      <c r="U15" s="67">
        <f t="shared" si="10"/>
        <v>0</v>
      </c>
      <c r="V15" s="45"/>
      <c r="W15" s="83" cm="1">
        <f t="array" ref="W15">TRANSPOSE('ASISTENCIA A'!AI12)</f>
        <v>0</v>
      </c>
      <c r="X15" s="33"/>
    </row>
    <row r="16" spans="1:24" s="12" customFormat="1" ht="55.5" customHeight="1" thickBot="1" x14ac:dyDescent="0.35">
      <c r="A16" s="66">
        <f t="shared" si="5"/>
        <v>5</v>
      </c>
      <c r="B16" s="79" t="s">
        <v>50</v>
      </c>
      <c r="C16" s="30"/>
      <c r="D16" s="31">
        <f t="shared" si="0"/>
        <v>0</v>
      </c>
      <c r="E16" s="30"/>
      <c r="F16" s="31">
        <f t="shared" si="1"/>
        <v>0</v>
      </c>
      <c r="G16" s="30"/>
      <c r="H16" s="31">
        <f t="shared" si="2"/>
        <v>0</v>
      </c>
      <c r="I16" s="30"/>
      <c r="J16" s="31">
        <f t="shared" si="3"/>
        <v>0</v>
      </c>
      <c r="K16" s="30"/>
      <c r="L16" s="31">
        <f t="shared" si="4"/>
        <v>0</v>
      </c>
      <c r="M16" s="30"/>
      <c r="N16" s="31">
        <f t="shared" si="6"/>
        <v>0</v>
      </c>
      <c r="O16" s="42">
        <f t="shared" si="7"/>
        <v>0</v>
      </c>
      <c r="P16" s="50"/>
      <c r="Q16" s="39"/>
      <c r="R16" s="39"/>
      <c r="S16" s="36">
        <f t="shared" si="8"/>
        <v>0</v>
      </c>
      <c r="T16" s="43">
        <f t="shared" si="9"/>
        <v>0</v>
      </c>
      <c r="U16" s="67">
        <f t="shared" si="10"/>
        <v>0</v>
      </c>
      <c r="V16" s="45"/>
      <c r="W16" s="83" cm="1">
        <f t="array" ref="W16">TRANSPOSE('ASISTENCIA A'!AI13)</f>
        <v>0</v>
      </c>
      <c r="X16" s="33"/>
    </row>
    <row r="17" spans="1:24" s="12" customFormat="1" ht="55.5" customHeight="1" thickBot="1" x14ac:dyDescent="0.35">
      <c r="A17" s="66">
        <f t="shared" si="5"/>
        <v>6</v>
      </c>
      <c r="B17" s="79" t="s">
        <v>51</v>
      </c>
      <c r="C17" s="30"/>
      <c r="D17" s="31">
        <f t="shared" si="0"/>
        <v>0</v>
      </c>
      <c r="E17" s="30"/>
      <c r="F17" s="31">
        <f t="shared" si="1"/>
        <v>0</v>
      </c>
      <c r="G17" s="30"/>
      <c r="H17" s="31">
        <f t="shared" si="2"/>
        <v>0</v>
      </c>
      <c r="I17" s="30"/>
      <c r="J17" s="31">
        <f t="shared" si="3"/>
        <v>0</v>
      </c>
      <c r="K17" s="30"/>
      <c r="L17" s="31">
        <f t="shared" si="4"/>
        <v>0</v>
      </c>
      <c r="M17" s="30"/>
      <c r="N17" s="31">
        <f t="shared" si="6"/>
        <v>0</v>
      </c>
      <c r="O17" s="42">
        <f t="shared" si="7"/>
        <v>0</v>
      </c>
      <c r="P17" s="50"/>
      <c r="Q17" s="39"/>
      <c r="R17" s="39"/>
      <c r="S17" s="36">
        <f t="shared" si="8"/>
        <v>0</v>
      </c>
      <c r="T17" s="43">
        <f t="shared" si="9"/>
        <v>0</v>
      </c>
      <c r="U17" s="67">
        <f t="shared" si="10"/>
        <v>0</v>
      </c>
      <c r="V17" s="45"/>
      <c r="W17" s="83" cm="1">
        <f t="array" ref="W17">TRANSPOSE('ASISTENCIA A'!AI14)</f>
        <v>0</v>
      </c>
      <c r="X17" s="33"/>
    </row>
    <row r="18" spans="1:24" s="12" customFormat="1" ht="55.5" customHeight="1" thickBot="1" x14ac:dyDescent="0.35">
      <c r="A18" s="66">
        <f t="shared" si="5"/>
        <v>7</v>
      </c>
      <c r="B18" s="79" t="s">
        <v>52</v>
      </c>
      <c r="C18" s="30"/>
      <c r="D18" s="31">
        <f t="shared" si="0"/>
        <v>0</v>
      </c>
      <c r="E18" s="30"/>
      <c r="F18" s="31">
        <f t="shared" si="1"/>
        <v>0</v>
      </c>
      <c r="G18" s="30"/>
      <c r="H18" s="31">
        <f t="shared" si="2"/>
        <v>0</v>
      </c>
      <c r="I18" s="30"/>
      <c r="J18" s="31">
        <f t="shared" si="3"/>
        <v>0</v>
      </c>
      <c r="K18" s="30"/>
      <c r="L18" s="31">
        <f t="shared" si="4"/>
        <v>0</v>
      </c>
      <c r="M18" s="30"/>
      <c r="N18" s="31">
        <f t="shared" si="6"/>
        <v>0</v>
      </c>
      <c r="O18" s="42">
        <f t="shared" si="7"/>
        <v>0</v>
      </c>
      <c r="P18" s="50"/>
      <c r="Q18" s="39"/>
      <c r="R18" s="39"/>
      <c r="S18" s="36">
        <f t="shared" si="8"/>
        <v>0</v>
      </c>
      <c r="T18" s="43">
        <f t="shared" si="9"/>
        <v>0</v>
      </c>
      <c r="U18" s="67">
        <f t="shared" si="10"/>
        <v>0</v>
      </c>
      <c r="V18" s="45"/>
      <c r="W18" s="83" cm="1">
        <f t="array" ref="W18">TRANSPOSE('ASISTENCIA A'!AI15)</f>
        <v>0</v>
      </c>
      <c r="X18" s="33"/>
    </row>
    <row r="19" spans="1:24" s="12" customFormat="1" ht="55.5" customHeight="1" thickBot="1" x14ac:dyDescent="0.35">
      <c r="A19" s="66">
        <f t="shared" si="5"/>
        <v>8</v>
      </c>
      <c r="B19" s="79" t="s">
        <v>53</v>
      </c>
      <c r="C19" s="30"/>
      <c r="D19" s="31">
        <f t="shared" si="0"/>
        <v>0</v>
      </c>
      <c r="E19" s="30"/>
      <c r="F19" s="31">
        <f t="shared" si="1"/>
        <v>0</v>
      </c>
      <c r="G19" s="30"/>
      <c r="H19" s="31">
        <f t="shared" si="2"/>
        <v>0</v>
      </c>
      <c r="I19" s="30"/>
      <c r="J19" s="31">
        <f t="shared" si="3"/>
        <v>0</v>
      </c>
      <c r="K19" s="30"/>
      <c r="L19" s="31">
        <f t="shared" si="4"/>
        <v>0</v>
      </c>
      <c r="M19" s="30"/>
      <c r="N19" s="31">
        <f t="shared" si="6"/>
        <v>0</v>
      </c>
      <c r="O19" s="42">
        <f t="shared" si="7"/>
        <v>0</v>
      </c>
      <c r="P19" s="50"/>
      <c r="Q19" s="39"/>
      <c r="R19" s="39"/>
      <c r="S19" s="36">
        <f t="shared" si="8"/>
        <v>0</v>
      </c>
      <c r="T19" s="43">
        <f t="shared" si="9"/>
        <v>0</v>
      </c>
      <c r="U19" s="67">
        <f t="shared" si="10"/>
        <v>0</v>
      </c>
      <c r="V19" s="45"/>
      <c r="W19" s="83" cm="1">
        <f t="array" ref="W19">TRANSPOSE('ASISTENCIA A'!AI16)</f>
        <v>0</v>
      </c>
      <c r="X19" s="33"/>
    </row>
    <row r="20" spans="1:24" s="12" customFormat="1" ht="55.5" customHeight="1" thickBot="1" x14ac:dyDescent="0.35">
      <c r="A20" s="66">
        <f t="shared" si="5"/>
        <v>9</v>
      </c>
      <c r="B20" s="79" t="s">
        <v>54</v>
      </c>
      <c r="C20" s="30"/>
      <c r="D20" s="31">
        <f t="shared" si="0"/>
        <v>0</v>
      </c>
      <c r="E20" s="30"/>
      <c r="F20" s="31">
        <f t="shared" si="1"/>
        <v>0</v>
      </c>
      <c r="G20" s="30"/>
      <c r="H20" s="31">
        <f t="shared" si="2"/>
        <v>0</v>
      </c>
      <c r="I20" s="30"/>
      <c r="J20" s="31">
        <f t="shared" si="3"/>
        <v>0</v>
      </c>
      <c r="K20" s="30"/>
      <c r="L20" s="31">
        <f t="shared" si="4"/>
        <v>0</v>
      </c>
      <c r="M20" s="30"/>
      <c r="N20" s="31">
        <f t="shared" si="6"/>
        <v>0</v>
      </c>
      <c r="O20" s="42">
        <f t="shared" si="7"/>
        <v>0</v>
      </c>
      <c r="P20" s="50"/>
      <c r="Q20" s="39"/>
      <c r="R20" s="39"/>
      <c r="S20" s="36">
        <f t="shared" si="8"/>
        <v>0</v>
      </c>
      <c r="T20" s="43">
        <f t="shared" si="9"/>
        <v>0</v>
      </c>
      <c r="U20" s="67">
        <f t="shared" si="10"/>
        <v>0</v>
      </c>
      <c r="V20" s="45"/>
      <c r="W20" s="83" cm="1">
        <f t="array" ref="W20">TRANSPOSE('ASISTENCIA A'!AI17)</f>
        <v>0</v>
      </c>
      <c r="X20" s="33"/>
    </row>
    <row r="21" spans="1:24" s="12" customFormat="1" ht="55.5" customHeight="1" thickBot="1" x14ac:dyDescent="0.35">
      <c r="A21" s="66">
        <f t="shared" si="5"/>
        <v>10</v>
      </c>
      <c r="B21" s="79" t="s">
        <v>55</v>
      </c>
      <c r="C21" s="30"/>
      <c r="D21" s="31">
        <f t="shared" si="0"/>
        <v>0</v>
      </c>
      <c r="E21" s="30"/>
      <c r="F21" s="31">
        <f t="shared" si="1"/>
        <v>0</v>
      </c>
      <c r="G21" s="30"/>
      <c r="H21" s="31">
        <f t="shared" si="2"/>
        <v>0</v>
      </c>
      <c r="I21" s="30"/>
      <c r="J21" s="31">
        <f t="shared" si="3"/>
        <v>0</v>
      </c>
      <c r="K21" s="30"/>
      <c r="L21" s="31">
        <f t="shared" si="4"/>
        <v>0</v>
      </c>
      <c r="M21" s="30"/>
      <c r="N21" s="31">
        <f t="shared" si="6"/>
        <v>0</v>
      </c>
      <c r="O21" s="42">
        <f t="shared" si="7"/>
        <v>0</v>
      </c>
      <c r="P21" s="50"/>
      <c r="Q21" s="39"/>
      <c r="R21" s="39"/>
      <c r="S21" s="36">
        <f t="shared" si="8"/>
        <v>0</v>
      </c>
      <c r="T21" s="43">
        <f t="shared" si="9"/>
        <v>0</v>
      </c>
      <c r="U21" s="67">
        <f t="shared" si="10"/>
        <v>0</v>
      </c>
      <c r="V21" s="45"/>
      <c r="W21" s="83" cm="1">
        <f t="array" ref="W21">TRANSPOSE('ASISTENCIA A'!AI18)</f>
        <v>0</v>
      </c>
      <c r="X21" s="33"/>
    </row>
    <row r="22" spans="1:24" s="12" customFormat="1" ht="55.5" customHeight="1" thickBot="1" x14ac:dyDescent="0.35">
      <c r="A22" s="66">
        <f t="shared" si="5"/>
        <v>11</v>
      </c>
      <c r="B22" s="79" t="s">
        <v>56</v>
      </c>
      <c r="C22" s="30"/>
      <c r="D22" s="31">
        <f t="shared" si="0"/>
        <v>0</v>
      </c>
      <c r="E22" s="30"/>
      <c r="F22" s="31">
        <f t="shared" si="1"/>
        <v>0</v>
      </c>
      <c r="G22" s="30"/>
      <c r="H22" s="31">
        <f t="shared" si="2"/>
        <v>0</v>
      </c>
      <c r="I22" s="30"/>
      <c r="J22" s="31">
        <f t="shared" si="3"/>
        <v>0</v>
      </c>
      <c r="K22" s="30"/>
      <c r="L22" s="31">
        <f t="shared" si="4"/>
        <v>0</v>
      </c>
      <c r="M22" s="30"/>
      <c r="N22" s="31">
        <f t="shared" si="6"/>
        <v>0</v>
      </c>
      <c r="O22" s="42">
        <f t="shared" si="7"/>
        <v>0</v>
      </c>
      <c r="P22" s="50"/>
      <c r="Q22" s="39"/>
      <c r="R22" s="39"/>
      <c r="S22" s="36">
        <f t="shared" si="8"/>
        <v>0</v>
      </c>
      <c r="T22" s="43">
        <f t="shared" si="9"/>
        <v>0</v>
      </c>
      <c r="U22" s="67">
        <f t="shared" si="10"/>
        <v>0</v>
      </c>
      <c r="V22" s="45"/>
      <c r="W22" s="83" cm="1">
        <f t="array" ref="W22">TRANSPOSE('ASISTENCIA A'!AI19)</f>
        <v>0</v>
      </c>
      <c r="X22" s="33"/>
    </row>
    <row r="23" spans="1:24" s="12" customFormat="1" ht="55.5" customHeight="1" thickBot="1" x14ac:dyDescent="0.35">
      <c r="A23" s="66">
        <f t="shared" si="5"/>
        <v>12</v>
      </c>
      <c r="B23" s="79" t="s">
        <v>57</v>
      </c>
      <c r="C23" s="30"/>
      <c r="D23" s="31">
        <f t="shared" si="0"/>
        <v>0</v>
      </c>
      <c r="E23" s="30"/>
      <c r="F23" s="31">
        <f t="shared" si="1"/>
        <v>0</v>
      </c>
      <c r="G23" s="30"/>
      <c r="H23" s="31">
        <f t="shared" si="2"/>
        <v>0</v>
      </c>
      <c r="I23" s="30"/>
      <c r="J23" s="31">
        <f t="shared" si="3"/>
        <v>0</v>
      </c>
      <c r="K23" s="30"/>
      <c r="L23" s="31">
        <f t="shared" si="4"/>
        <v>0</v>
      </c>
      <c r="M23" s="30"/>
      <c r="N23" s="31">
        <f t="shared" si="6"/>
        <v>0</v>
      </c>
      <c r="O23" s="42">
        <f t="shared" si="7"/>
        <v>0</v>
      </c>
      <c r="P23" s="50"/>
      <c r="Q23" s="39"/>
      <c r="R23" s="39"/>
      <c r="S23" s="36">
        <f t="shared" si="8"/>
        <v>0</v>
      </c>
      <c r="T23" s="43">
        <f t="shared" si="9"/>
        <v>0</v>
      </c>
      <c r="U23" s="67">
        <f t="shared" si="10"/>
        <v>0</v>
      </c>
      <c r="V23" s="45"/>
      <c r="W23" s="83" cm="1">
        <f t="array" ref="W23">TRANSPOSE('ASISTENCIA A'!AI20)</f>
        <v>0</v>
      </c>
      <c r="X23" s="33"/>
    </row>
    <row r="24" spans="1:24" s="12" customFormat="1" ht="55.5" customHeight="1" thickBot="1" x14ac:dyDescent="0.35">
      <c r="A24" s="66">
        <f t="shared" si="5"/>
        <v>13</v>
      </c>
      <c r="B24" s="79" t="s">
        <v>58</v>
      </c>
      <c r="C24" s="30"/>
      <c r="D24" s="31">
        <f t="shared" si="0"/>
        <v>0</v>
      </c>
      <c r="E24" s="30"/>
      <c r="F24" s="31">
        <f t="shared" si="1"/>
        <v>0</v>
      </c>
      <c r="G24" s="30"/>
      <c r="H24" s="31">
        <f t="shared" si="2"/>
        <v>0</v>
      </c>
      <c r="I24" s="30"/>
      <c r="J24" s="31">
        <f t="shared" si="3"/>
        <v>0</v>
      </c>
      <c r="K24" s="30"/>
      <c r="L24" s="31">
        <f t="shared" si="4"/>
        <v>0</v>
      </c>
      <c r="M24" s="30"/>
      <c r="N24" s="31">
        <f t="shared" si="6"/>
        <v>0</v>
      </c>
      <c r="O24" s="42">
        <f t="shared" si="7"/>
        <v>0</v>
      </c>
      <c r="P24" s="50"/>
      <c r="Q24" s="39"/>
      <c r="R24" s="39"/>
      <c r="S24" s="36">
        <f t="shared" si="8"/>
        <v>0</v>
      </c>
      <c r="T24" s="43">
        <f t="shared" si="9"/>
        <v>0</v>
      </c>
      <c r="U24" s="67">
        <f t="shared" si="10"/>
        <v>0</v>
      </c>
      <c r="V24" s="45"/>
      <c r="W24" s="83" cm="1">
        <f t="array" ref="W24">TRANSPOSE('ASISTENCIA A'!AI21)</f>
        <v>0</v>
      </c>
      <c r="X24" s="33"/>
    </row>
    <row r="25" spans="1:24" s="12" customFormat="1" ht="55.5" customHeight="1" thickBot="1" x14ac:dyDescent="0.35">
      <c r="A25" s="66">
        <f t="shared" si="5"/>
        <v>14</v>
      </c>
      <c r="B25" s="79" t="s">
        <v>59</v>
      </c>
      <c r="C25" s="30"/>
      <c r="D25" s="31">
        <f t="shared" si="0"/>
        <v>0</v>
      </c>
      <c r="E25" s="30"/>
      <c r="F25" s="31">
        <f t="shared" si="1"/>
        <v>0</v>
      </c>
      <c r="G25" s="30"/>
      <c r="H25" s="31">
        <f t="shared" si="2"/>
        <v>0</v>
      </c>
      <c r="I25" s="30"/>
      <c r="J25" s="31">
        <f t="shared" si="3"/>
        <v>0</v>
      </c>
      <c r="K25" s="30"/>
      <c r="L25" s="31">
        <f t="shared" si="4"/>
        <v>0</v>
      </c>
      <c r="M25" s="30"/>
      <c r="N25" s="31">
        <f t="shared" si="6"/>
        <v>0</v>
      </c>
      <c r="O25" s="42">
        <f t="shared" si="7"/>
        <v>0</v>
      </c>
      <c r="P25" s="50"/>
      <c r="Q25" s="39"/>
      <c r="R25" s="39"/>
      <c r="S25" s="36">
        <f t="shared" si="8"/>
        <v>0</v>
      </c>
      <c r="T25" s="43">
        <f t="shared" si="9"/>
        <v>0</v>
      </c>
      <c r="U25" s="67">
        <f t="shared" si="10"/>
        <v>0</v>
      </c>
      <c r="V25" s="45"/>
      <c r="W25" s="83" cm="1">
        <f t="array" ref="W25">TRANSPOSE('ASISTENCIA A'!AI22)</f>
        <v>0</v>
      </c>
      <c r="X25" s="33"/>
    </row>
    <row r="26" spans="1:24" s="12" customFormat="1" ht="55.5" customHeight="1" thickBot="1" x14ac:dyDescent="0.35">
      <c r="A26" s="66">
        <f t="shared" si="5"/>
        <v>15</v>
      </c>
      <c r="B26" s="79" t="s">
        <v>60</v>
      </c>
      <c r="C26" s="30"/>
      <c r="D26" s="31">
        <f t="shared" si="0"/>
        <v>0</v>
      </c>
      <c r="E26" s="30"/>
      <c r="F26" s="31">
        <f t="shared" si="1"/>
        <v>0</v>
      </c>
      <c r="G26" s="30"/>
      <c r="H26" s="31">
        <f t="shared" si="2"/>
        <v>0</v>
      </c>
      <c r="I26" s="30"/>
      <c r="J26" s="31">
        <f t="shared" si="3"/>
        <v>0</v>
      </c>
      <c r="K26" s="30"/>
      <c r="L26" s="31">
        <f t="shared" si="4"/>
        <v>0</v>
      </c>
      <c r="M26" s="30"/>
      <c r="N26" s="31">
        <f t="shared" si="6"/>
        <v>0</v>
      </c>
      <c r="O26" s="42">
        <f t="shared" si="7"/>
        <v>0</v>
      </c>
      <c r="P26" s="50"/>
      <c r="Q26" s="39"/>
      <c r="R26" s="39"/>
      <c r="S26" s="36">
        <f t="shared" si="8"/>
        <v>0</v>
      </c>
      <c r="T26" s="43">
        <f t="shared" si="9"/>
        <v>0</v>
      </c>
      <c r="U26" s="67">
        <f t="shared" si="10"/>
        <v>0</v>
      </c>
      <c r="V26" s="45"/>
      <c r="W26" s="83" cm="1">
        <f t="array" ref="W26">TRANSPOSE('ASISTENCIA A'!AI23)</f>
        <v>0</v>
      </c>
      <c r="X26" s="33"/>
    </row>
    <row r="27" spans="1:24" s="12" customFormat="1" ht="55.5" customHeight="1" thickBot="1" x14ac:dyDescent="0.35">
      <c r="A27" s="66">
        <f t="shared" si="5"/>
        <v>16</v>
      </c>
      <c r="B27" s="79" t="s">
        <v>61</v>
      </c>
      <c r="C27" s="30"/>
      <c r="D27" s="31">
        <f t="shared" si="0"/>
        <v>0</v>
      </c>
      <c r="E27" s="30"/>
      <c r="F27" s="31">
        <f t="shared" si="1"/>
        <v>0</v>
      </c>
      <c r="G27" s="30"/>
      <c r="H27" s="31">
        <f t="shared" si="2"/>
        <v>0</v>
      </c>
      <c r="I27" s="30"/>
      <c r="J27" s="31">
        <f t="shared" si="3"/>
        <v>0</v>
      </c>
      <c r="K27" s="30"/>
      <c r="L27" s="31">
        <f t="shared" si="4"/>
        <v>0</v>
      </c>
      <c r="M27" s="30"/>
      <c r="N27" s="31">
        <f t="shared" si="6"/>
        <v>0</v>
      </c>
      <c r="O27" s="42">
        <f t="shared" si="7"/>
        <v>0</v>
      </c>
      <c r="P27" s="50"/>
      <c r="Q27" s="39"/>
      <c r="R27" s="39"/>
      <c r="S27" s="36">
        <f t="shared" si="8"/>
        <v>0</v>
      </c>
      <c r="T27" s="43">
        <f t="shared" si="9"/>
        <v>0</v>
      </c>
      <c r="U27" s="67">
        <f t="shared" si="10"/>
        <v>0</v>
      </c>
      <c r="V27" s="45"/>
      <c r="W27" s="83" cm="1">
        <f t="array" ref="W27">TRANSPOSE('ASISTENCIA A'!AI24)</f>
        <v>0</v>
      </c>
      <c r="X27" s="33"/>
    </row>
    <row r="28" spans="1:24" s="12" customFormat="1" ht="55.5" customHeight="1" thickBot="1" x14ac:dyDescent="0.35">
      <c r="A28" s="66">
        <f t="shared" si="5"/>
        <v>17</v>
      </c>
      <c r="B28" s="79" t="s">
        <v>62</v>
      </c>
      <c r="C28" s="30"/>
      <c r="D28" s="31">
        <f t="shared" si="0"/>
        <v>0</v>
      </c>
      <c r="E28" s="30"/>
      <c r="F28" s="31">
        <f t="shared" si="1"/>
        <v>0</v>
      </c>
      <c r="G28" s="30"/>
      <c r="H28" s="31">
        <f t="shared" si="2"/>
        <v>0</v>
      </c>
      <c r="I28" s="30"/>
      <c r="J28" s="31">
        <f t="shared" si="3"/>
        <v>0</v>
      </c>
      <c r="K28" s="30"/>
      <c r="L28" s="31">
        <f t="shared" si="4"/>
        <v>0</v>
      </c>
      <c r="M28" s="30"/>
      <c r="N28" s="31">
        <f t="shared" si="6"/>
        <v>0</v>
      </c>
      <c r="O28" s="42">
        <f t="shared" si="7"/>
        <v>0</v>
      </c>
      <c r="P28" s="50"/>
      <c r="Q28" s="39"/>
      <c r="R28" s="39"/>
      <c r="S28" s="36">
        <f t="shared" si="8"/>
        <v>0</v>
      </c>
      <c r="T28" s="43">
        <f t="shared" si="9"/>
        <v>0</v>
      </c>
      <c r="U28" s="67">
        <f t="shared" si="10"/>
        <v>0</v>
      </c>
      <c r="V28" s="45"/>
      <c r="W28" s="83" cm="1">
        <f t="array" ref="W28">TRANSPOSE('ASISTENCIA A'!AI25)</f>
        <v>0</v>
      </c>
      <c r="X28" s="33"/>
    </row>
    <row r="29" spans="1:24" s="12" customFormat="1" ht="55.5" customHeight="1" thickBot="1" x14ac:dyDescent="0.35">
      <c r="A29" s="66">
        <f t="shared" si="5"/>
        <v>18</v>
      </c>
      <c r="B29" s="79" t="s">
        <v>63</v>
      </c>
      <c r="C29" s="30"/>
      <c r="D29" s="31">
        <f t="shared" si="0"/>
        <v>0</v>
      </c>
      <c r="E29" s="30"/>
      <c r="F29" s="31">
        <f t="shared" si="1"/>
        <v>0</v>
      </c>
      <c r="G29" s="30"/>
      <c r="H29" s="31">
        <f t="shared" si="2"/>
        <v>0</v>
      </c>
      <c r="I29" s="30"/>
      <c r="J29" s="31">
        <f t="shared" si="3"/>
        <v>0</v>
      </c>
      <c r="K29" s="30"/>
      <c r="L29" s="31">
        <f t="shared" si="4"/>
        <v>0</v>
      </c>
      <c r="M29" s="30"/>
      <c r="N29" s="31">
        <f t="shared" si="6"/>
        <v>0</v>
      </c>
      <c r="O29" s="42">
        <f t="shared" si="7"/>
        <v>0</v>
      </c>
      <c r="P29" s="50"/>
      <c r="Q29" s="39"/>
      <c r="R29" s="39"/>
      <c r="S29" s="36">
        <f t="shared" si="8"/>
        <v>0</v>
      </c>
      <c r="T29" s="43">
        <f t="shared" si="9"/>
        <v>0</v>
      </c>
      <c r="U29" s="67">
        <f t="shared" si="10"/>
        <v>0</v>
      </c>
      <c r="V29" s="45"/>
      <c r="W29" s="83" cm="1">
        <f t="array" ref="W29">TRANSPOSE('ASISTENCIA A'!AI26)</f>
        <v>0</v>
      </c>
      <c r="X29" s="33"/>
    </row>
    <row r="30" spans="1:24" s="12" customFormat="1" ht="55.5" customHeight="1" thickBot="1" x14ac:dyDescent="0.35">
      <c r="A30" s="66">
        <f t="shared" si="5"/>
        <v>19</v>
      </c>
      <c r="B30" s="79" t="s">
        <v>64</v>
      </c>
      <c r="C30" s="30"/>
      <c r="D30" s="31">
        <f t="shared" si="0"/>
        <v>0</v>
      </c>
      <c r="E30" s="30"/>
      <c r="F30" s="31">
        <f t="shared" si="1"/>
        <v>0</v>
      </c>
      <c r="G30" s="30"/>
      <c r="H30" s="31">
        <f t="shared" si="2"/>
        <v>0</v>
      </c>
      <c r="I30" s="30"/>
      <c r="J30" s="31">
        <f t="shared" si="3"/>
        <v>0</v>
      </c>
      <c r="K30" s="30"/>
      <c r="L30" s="31">
        <f t="shared" si="4"/>
        <v>0</v>
      </c>
      <c r="M30" s="30"/>
      <c r="N30" s="31">
        <f t="shared" si="6"/>
        <v>0</v>
      </c>
      <c r="O30" s="42">
        <f t="shared" si="7"/>
        <v>0</v>
      </c>
      <c r="P30" s="50"/>
      <c r="Q30" s="39"/>
      <c r="R30" s="39"/>
      <c r="S30" s="36">
        <f t="shared" si="8"/>
        <v>0</v>
      </c>
      <c r="T30" s="43">
        <f t="shared" si="9"/>
        <v>0</v>
      </c>
      <c r="U30" s="67">
        <f t="shared" si="10"/>
        <v>0</v>
      </c>
      <c r="V30" s="45"/>
      <c r="W30" s="83" cm="1">
        <f t="array" ref="W30">TRANSPOSE('ASISTENCIA A'!AI27)</f>
        <v>0</v>
      </c>
      <c r="X30" s="33"/>
    </row>
    <row r="31" spans="1:24" s="12" customFormat="1" ht="55.5" customHeight="1" thickBot="1" x14ac:dyDescent="0.35">
      <c r="A31" s="66">
        <f t="shared" si="5"/>
        <v>20</v>
      </c>
      <c r="B31" s="79" t="s">
        <v>65</v>
      </c>
      <c r="C31" s="30"/>
      <c r="D31" s="31">
        <f t="shared" si="0"/>
        <v>0</v>
      </c>
      <c r="E31" s="30"/>
      <c r="F31" s="31">
        <f t="shared" si="1"/>
        <v>0</v>
      </c>
      <c r="G31" s="30"/>
      <c r="H31" s="31">
        <f t="shared" si="2"/>
        <v>0</v>
      </c>
      <c r="I31" s="30"/>
      <c r="J31" s="31">
        <f t="shared" si="3"/>
        <v>0</v>
      </c>
      <c r="K31" s="30"/>
      <c r="L31" s="31">
        <f t="shared" si="4"/>
        <v>0</v>
      </c>
      <c r="M31" s="30"/>
      <c r="N31" s="31">
        <f t="shared" si="6"/>
        <v>0</v>
      </c>
      <c r="O31" s="42">
        <f t="shared" si="7"/>
        <v>0</v>
      </c>
      <c r="P31" s="50"/>
      <c r="Q31" s="39"/>
      <c r="R31" s="39"/>
      <c r="S31" s="36">
        <f t="shared" si="8"/>
        <v>0</v>
      </c>
      <c r="T31" s="43">
        <f t="shared" si="9"/>
        <v>0</v>
      </c>
      <c r="U31" s="67">
        <f t="shared" si="10"/>
        <v>0</v>
      </c>
      <c r="V31" s="45"/>
      <c r="W31" s="83" cm="1">
        <f t="array" ref="W31">TRANSPOSE('ASISTENCIA A'!AI28)</f>
        <v>0</v>
      </c>
      <c r="X31" s="33"/>
    </row>
    <row r="32" spans="1:24" s="12" customFormat="1" ht="55.5" customHeight="1" thickBot="1" x14ac:dyDescent="0.35">
      <c r="A32" s="66">
        <f t="shared" si="5"/>
        <v>21</v>
      </c>
      <c r="B32" s="79" t="s">
        <v>66</v>
      </c>
      <c r="C32" s="30"/>
      <c r="D32" s="31">
        <f t="shared" si="0"/>
        <v>0</v>
      </c>
      <c r="E32" s="30"/>
      <c r="F32" s="31">
        <f t="shared" si="1"/>
        <v>0</v>
      </c>
      <c r="G32" s="30"/>
      <c r="H32" s="31">
        <f t="shared" si="2"/>
        <v>0</v>
      </c>
      <c r="I32" s="30"/>
      <c r="J32" s="31">
        <f t="shared" si="3"/>
        <v>0</v>
      </c>
      <c r="K32" s="30"/>
      <c r="L32" s="31">
        <f t="shared" si="4"/>
        <v>0</v>
      </c>
      <c r="M32" s="30"/>
      <c r="N32" s="31">
        <f t="shared" si="6"/>
        <v>0</v>
      </c>
      <c r="O32" s="42">
        <f t="shared" si="7"/>
        <v>0</v>
      </c>
      <c r="P32" s="50"/>
      <c r="Q32" s="39"/>
      <c r="R32" s="39"/>
      <c r="S32" s="36">
        <f t="shared" si="8"/>
        <v>0</v>
      </c>
      <c r="T32" s="43">
        <f t="shared" si="9"/>
        <v>0</v>
      </c>
      <c r="U32" s="67">
        <f t="shared" si="10"/>
        <v>0</v>
      </c>
      <c r="V32" s="45"/>
      <c r="W32" s="83" cm="1">
        <f t="array" ref="W32">TRANSPOSE('ASISTENCIA A'!AI29)</f>
        <v>0</v>
      </c>
      <c r="X32" s="33"/>
    </row>
    <row r="33" spans="1:24" s="12" customFormat="1" ht="55.5" customHeight="1" thickBot="1" x14ac:dyDescent="0.35">
      <c r="A33" s="66">
        <f t="shared" si="5"/>
        <v>22</v>
      </c>
      <c r="B33" s="79" t="s">
        <v>67</v>
      </c>
      <c r="C33" s="30"/>
      <c r="D33" s="31">
        <f t="shared" si="0"/>
        <v>0</v>
      </c>
      <c r="E33" s="30"/>
      <c r="F33" s="31">
        <f t="shared" si="1"/>
        <v>0</v>
      </c>
      <c r="G33" s="30"/>
      <c r="H33" s="31">
        <f t="shared" si="2"/>
        <v>0</v>
      </c>
      <c r="I33" s="30"/>
      <c r="J33" s="31">
        <f t="shared" si="3"/>
        <v>0</v>
      </c>
      <c r="K33" s="30"/>
      <c r="L33" s="31">
        <f t="shared" si="4"/>
        <v>0</v>
      </c>
      <c r="M33" s="30"/>
      <c r="N33" s="31">
        <f t="shared" si="6"/>
        <v>0</v>
      </c>
      <c r="O33" s="42">
        <f t="shared" si="7"/>
        <v>0</v>
      </c>
      <c r="P33" s="50"/>
      <c r="Q33" s="39"/>
      <c r="R33" s="39"/>
      <c r="S33" s="36">
        <f t="shared" si="8"/>
        <v>0</v>
      </c>
      <c r="T33" s="43">
        <f t="shared" si="9"/>
        <v>0</v>
      </c>
      <c r="U33" s="67">
        <f t="shared" si="10"/>
        <v>0</v>
      </c>
      <c r="V33" s="45"/>
      <c r="W33" s="83" cm="1">
        <f t="array" ref="W33">TRANSPOSE('ASISTENCIA A'!AI30)</f>
        <v>0</v>
      </c>
      <c r="X33" s="33"/>
    </row>
    <row r="34" spans="1:24" s="12" customFormat="1" ht="55.5" customHeight="1" thickBot="1" x14ac:dyDescent="0.35">
      <c r="A34" s="66">
        <f t="shared" si="5"/>
        <v>23</v>
      </c>
      <c r="B34" s="79" t="s">
        <v>68</v>
      </c>
      <c r="C34" s="30"/>
      <c r="D34" s="31">
        <f t="shared" si="0"/>
        <v>0</v>
      </c>
      <c r="E34" s="30"/>
      <c r="F34" s="31">
        <f t="shared" si="1"/>
        <v>0</v>
      </c>
      <c r="G34" s="30"/>
      <c r="H34" s="31">
        <f t="shared" si="2"/>
        <v>0</v>
      </c>
      <c r="I34" s="30"/>
      <c r="J34" s="31">
        <f t="shared" si="3"/>
        <v>0</v>
      </c>
      <c r="K34" s="30"/>
      <c r="L34" s="31">
        <f t="shared" si="4"/>
        <v>0</v>
      </c>
      <c r="M34" s="30"/>
      <c r="N34" s="31">
        <f t="shared" si="6"/>
        <v>0</v>
      </c>
      <c r="O34" s="42">
        <f t="shared" si="7"/>
        <v>0</v>
      </c>
      <c r="P34" s="50"/>
      <c r="Q34" s="39"/>
      <c r="R34" s="39"/>
      <c r="S34" s="36">
        <f t="shared" si="8"/>
        <v>0</v>
      </c>
      <c r="T34" s="43">
        <f t="shared" si="9"/>
        <v>0</v>
      </c>
      <c r="U34" s="67">
        <f t="shared" si="10"/>
        <v>0</v>
      </c>
      <c r="V34" s="45"/>
      <c r="W34" s="83" cm="1">
        <f t="array" ref="W34">TRANSPOSE('ASISTENCIA A'!AI31)</f>
        <v>0</v>
      </c>
      <c r="X34" s="33"/>
    </row>
    <row r="35" spans="1:24" s="12" customFormat="1" ht="55.5" customHeight="1" thickBot="1" x14ac:dyDescent="0.35">
      <c r="A35" s="66">
        <f t="shared" si="5"/>
        <v>24</v>
      </c>
      <c r="B35" s="79" t="s">
        <v>69</v>
      </c>
      <c r="C35" s="30"/>
      <c r="D35" s="31">
        <f t="shared" si="0"/>
        <v>0</v>
      </c>
      <c r="E35" s="30"/>
      <c r="F35" s="31">
        <f t="shared" si="1"/>
        <v>0</v>
      </c>
      <c r="G35" s="30"/>
      <c r="H35" s="31">
        <f t="shared" si="2"/>
        <v>0</v>
      </c>
      <c r="I35" s="30"/>
      <c r="J35" s="31">
        <f t="shared" si="3"/>
        <v>0</v>
      </c>
      <c r="K35" s="30"/>
      <c r="L35" s="31">
        <f t="shared" si="4"/>
        <v>0</v>
      </c>
      <c r="M35" s="30"/>
      <c r="N35" s="31">
        <f t="shared" si="6"/>
        <v>0</v>
      </c>
      <c r="O35" s="42">
        <f t="shared" si="7"/>
        <v>0</v>
      </c>
      <c r="P35" s="50"/>
      <c r="Q35" s="39"/>
      <c r="R35" s="39"/>
      <c r="S35" s="36">
        <f t="shared" si="8"/>
        <v>0</v>
      </c>
      <c r="T35" s="43">
        <f t="shared" si="9"/>
        <v>0</v>
      </c>
      <c r="U35" s="67">
        <f t="shared" si="10"/>
        <v>0</v>
      </c>
      <c r="V35" s="45"/>
      <c r="W35" s="83" cm="1">
        <f t="array" ref="W35">TRANSPOSE('ASISTENCIA A'!AI32)</f>
        <v>0</v>
      </c>
      <c r="X35" s="33"/>
    </row>
    <row r="36" spans="1:24" s="12" customFormat="1" ht="55.5" customHeight="1" thickBot="1" x14ac:dyDescent="0.35">
      <c r="A36" s="66">
        <f t="shared" si="5"/>
        <v>25</v>
      </c>
      <c r="B36" s="79" t="s">
        <v>70</v>
      </c>
      <c r="C36" s="30"/>
      <c r="D36" s="31">
        <f t="shared" si="0"/>
        <v>0</v>
      </c>
      <c r="E36" s="30"/>
      <c r="F36" s="31">
        <f t="shared" si="1"/>
        <v>0</v>
      </c>
      <c r="G36" s="30"/>
      <c r="H36" s="31">
        <f t="shared" si="2"/>
        <v>0</v>
      </c>
      <c r="I36" s="30"/>
      <c r="J36" s="31">
        <f t="shared" si="3"/>
        <v>0</v>
      </c>
      <c r="K36" s="30"/>
      <c r="L36" s="31">
        <f t="shared" si="4"/>
        <v>0</v>
      </c>
      <c r="M36" s="30"/>
      <c r="N36" s="31">
        <f t="shared" si="6"/>
        <v>0</v>
      </c>
      <c r="O36" s="42">
        <f t="shared" si="7"/>
        <v>0</v>
      </c>
      <c r="P36" s="50"/>
      <c r="Q36" s="39"/>
      <c r="R36" s="39"/>
      <c r="S36" s="36">
        <f t="shared" si="8"/>
        <v>0</v>
      </c>
      <c r="T36" s="43">
        <f t="shared" si="9"/>
        <v>0</v>
      </c>
      <c r="U36" s="67">
        <f t="shared" si="10"/>
        <v>0</v>
      </c>
      <c r="V36" s="45"/>
      <c r="W36" s="83" cm="1">
        <f t="array" ref="W36">TRANSPOSE('ASISTENCIA A'!AI33)</f>
        <v>0</v>
      </c>
      <c r="X36" s="33"/>
    </row>
    <row r="37" spans="1:24" s="12" customFormat="1" ht="55.5" customHeight="1" thickBot="1" x14ac:dyDescent="0.35">
      <c r="A37" s="66">
        <f t="shared" si="5"/>
        <v>26</v>
      </c>
      <c r="B37" s="79" t="s">
        <v>71</v>
      </c>
      <c r="C37" s="30"/>
      <c r="D37" s="31">
        <f t="shared" si="0"/>
        <v>0</v>
      </c>
      <c r="E37" s="30"/>
      <c r="F37" s="31">
        <f t="shared" si="1"/>
        <v>0</v>
      </c>
      <c r="G37" s="30"/>
      <c r="H37" s="31">
        <f t="shared" si="2"/>
        <v>0</v>
      </c>
      <c r="I37" s="30"/>
      <c r="J37" s="31">
        <f t="shared" si="3"/>
        <v>0</v>
      </c>
      <c r="K37" s="30"/>
      <c r="L37" s="31">
        <f t="shared" si="4"/>
        <v>0</v>
      </c>
      <c r="M37" s="30"/>
      <c r="N37" s="31">
        <f t="shared" si="6"/>
        <v>0</v>
      </c>
      <c r="O37" s="42">
        <f t="shared" si="7"/>
        <v>0</v>
      </c>
      <c r="P37" s="50"/>
      <c r="Q37" s="39"/>
      <c r="R37" s="39"/>
      <c r="S37" s="36">
        <f t="shared" si="8"/>
        <v>0</v>
      </c>
      <c r="T37" s="43">
        <f t="shared" si="9"/>
        <v>0</v>
      </c>
      <c r="U37" s="67">
        <f t="shared" si="10"/>
        <v>0</v>
      </c>
      <c r="V37" s="45"/>
      <c r="W37" s="83" cm="1">
        <f t="array" ref="W37">TRANSPOSE('ASISTENCIA A'!AI34)</f>
        <v>0</v>
      </c>
      <c r="X37" s="33"/>
    </row>
    <row r="38" spans="1:24" s="12" customFormat="1" ht="55.5" customHeight="1" thickBot="1" x14ac:dyDescent="0.35">
      <c r="A38" s="66">
        <f t="shared" si="5"/>
        <v>27</v>
      </c>
      <c r="B38" s="79" t="s">
        <v>72</v>
      </c>
      <c r="C38" s="30"/>
      <c r="D38" s="31">
        <f t="shared" si="0"/>
        <v>0</v>
      </c>
      <c r="E38" s="30"/>
      <c r="F38" s="31">
        <f t="shared" si="1"/>
        <v>0</v>
      </c>
      <c r="G38" s="30"/>
      <c r="H38" s="31">
        <f t="shared" si="2"/>
        <v>0</v>
      </c>
      <c r="I38" s="30"/>
      <c r="J38" s="31">
        <f t="shared" si="3"/>
        <v>0</v>
      </c>
      <c r="K38" s="30"/>
      <c r="L38" s="31">
        <f t="shared" si="4"/>
        <v>0</v>
      </c>
      <c r="M38" s="30"/>
      <c r="N38" s="31">
        <f t="shared" si="6"/>
        <v>0</v>
      </c>
      <c r="O38" s="42">
        <f t="shared" si="7"/>
        <v>0</v>
      </c>
      <c r="P38" s="50"/>
      <c r="Q38" s="39"/>
      <c r="R38" s="39"/>
      <c r="S38" s="36">
        <f t="shared" si="8"/>
        <v>0</v>
      </c>
      <c r="T38" s="43">
        <f t="shared" si="9"/>
        <v>0</v>
      </c>
      <c r="U38" s="67">
        <f t="shared" si="10"/>
        <v>0</v>
      </c>
      <c r="V38" s="45"/>
      <c r="W38" s="83" cm="1">
        <f t="array" ref="W38">TRANSPOSE('ASISTENCIA A'!AI35)</f>
        <v>0</v>
      </c>
      <c r="X38" s="33"/>
    </row>
    <row r="39" spans="1:24" s="12" customFormat="1" ht="55.5" customHeight="1" thickBot="1" x14ac:dyDescent="0.35">
      <c r="A39" s="66">
        <f t="shared" si="5"/>
        <v>28</v>
      </c>
      <c r="B39" s="79" t="s">
        <v>73</v>
      </c>
      <c r="C39" s="30"/>
      <c r="D39" s="31">
        <f t="shared" si="0"/>
        <v>0</v>
      </c>
      <c r="E39" s="30"/>
      <c r="F39" s="31">
        <f t="shared" si="1"/>
        <v>0</v>
      </c>
      <c r="G39" s="30"/>
      <c r="H39" s="31">
        <f t="shared" si="2"/>
        <v>0</v>
      </c>
      <c r="I39" s="30"/>
      <c r="J39" s="31">
        <f t="shared" si="3"/>
        <v>0</v>
      </c>
      <c r="K39" s="30"/>
      <c r="L39" s="31">
        <f t="shared" si="4"/>
        <v>0</v>
      </c>
      <c r="M39" s="30"/>
      <c r="N39" s="31">
        <f t="shared" si="6"/>
        <v>0</v>
      </c>
      <c r="O39" s="42">
        <f t="shared" si="7"/>
        <v>0</v>
      </c>
      <c r="P39" s="50"/>
      <c r="Q39" s="39"/>
      <c r="R39" s="39"/>
      <c r="S39" s="36">
        <f t="shared" si="8"/>
        <v>0</v>
      </c>
      <c r="T39" s="43">
        <f t="shared" si="9"/>
        <v>0</v>
      </c>
      <c r="U39" s="67">
        <f t="shared" si="10"/>
        <v>0</v>
      </c>
      <c r="V39" s="45"/>
      <c r="W39" s="83" cm="1">
        <f t="array" ref="W39">TRANSPOSE('ASISTENCIA A'!AI36)</f>
        <v>0</v>
      </c>
      <c r="X39" s="33"/>
    </row>
    <row r="40" spans="1:24" s="12" customFormat="1" ht="55.5" customHeight="1" thickBot="1" x14ac:dyDescent="0.35">
      <c r="A40" s="66">
        <f t="shared" si="5"/>
        <v>29</v>
      </c>
      <c r="B40" s="79" t="s">
        <v>74</v>
      </c>
      <c r="C40" s="30"/>
      <c r="D40" s="31">
        <f t="shared" si="0"/>
        <v>0</v>
      </c>
      <c r="E40" s="30"/>
      <c r="F40" s="31">
        <f t="shared" si="1"/>
        <v>0</v>
      </c>
      <c r="G40" s="30"/>
      <c r="H40" s="31">
        <f t="shared" si="2"/>
        <v>0</v>
      </c>
      <c r="I40" s="30"/>
      <c r="J40" s="31">
        <f t="shared" si="3"/>
        <v>0</v>
      </c>
      <c r="K40" s="30"/>
      <c r="L40" s="31">
        <f t="shared" si="4"/>
        <v>0</v>
      </c>
      <c r="M40" s="30"/>
      <c r="N40" s="31">
        <f t="shared" si="6"/>
        <v>0</v>
      </c>
      <c r="O40" s="42">
        <f t="shared" si="7"/>
        <v>0</v>
      </c>
      <c r="P40" s="50"/>
      <c r="Q40" s="39"/>
      <c r="R40" s="39"/>
      <c r="S40" s="36">
        <f t="shared" si="8"/>
        <v>0</v>
      </c>
      <c r="T40" s="43">
        <f t="shared" si="9"/>
        <v>0</v>
      </c>
      <c r="U40" s="67">
        <f t="shared" si="10"/>
        <v>0</v>
      </c>
      <c r="V40" s="45"/>
      <c r="W40" s="83" cm="1">
        <f t="array" ref="W40">TRANSPOSE('ASISTENCIA A'!AI37)</f>
        <v>0</v>
      </c>
      <c r="X40" s="33"/>
    </row>
    <row r="41" spans="1:24" s="12" customFormat="1" ht="55.5" customHeight="1" thickBot="1" x14ac:dyDescent="0.35">
      <c r="A41" s="66">
        <f t="shared" si="5"/>
        <v>30</v>
      </c>
      <c r="B41" s="79" t="s">
        <v>75</v>
      </c>
      <c r="C41" s="30"/>
      <c r="D41" s="31">
        <f t="shared" si="0"/>
        <v>0</v>
      </c>
      <c r="E41" s="30"/>
      <c r="F41" s="31">
        <f t="shared" si="1"/>
        <v>0</v>
      </c>
      <c r="G41" s="30"/>
      <c r="H41" s="31">
        <f t="shared" si="2"/>
        <v>0</v>
      </c>
      <c r="I41" s="30"/>
      <c r="J41" s="31">
        <f t="shared" si="3"/>
        <v>0</v>
      </c>
      <c r="K41" s="30"/>
      <c r="L41" s="31">
        <f t="shared" si="4"/>
        <v>0</v>
      </c>
      <c r="M41" s="30"/>
      <c r="N41" s="31">
        <f t="shared" si="6"/>
        <v>0</v>
      </c>
      <c r="O41" s="42">
        <f t="shared" si="7"/>
        <v>0</v>
      </c>
      <c r="P41" s="50"/>
      <c r="Q41" s="39"/>
      <c r="R41" s="39"/>
      <c r="S41" s="36">
        <f t="shared" si="8"/>
        <v>0</v>
      </c>
      <c r="T41" s="43">
        <f t="shared" si="9"/>
        <v>0</v>
      </c>
      <c r="U41" s="67">
        <f t="shared" si="10"/>
        <v>0</v>
      </c>
      <c r="V41" s="45"/>
      <c r="W41" s="83" cm="1">
        <f t="array" ref="W41">TRANSPOSE('ASISTENCIA A'!AI38)</f>
        <v>0</v>
      </c>
      <c r="X41" s="33"/>
    </row>
    <row r="42" spans="1:24" s="12" customFormat="1" ht="55.5" customHeight="1" thickBot="1" x14ac:dyDescent="0.35">
      <c r="A42" s="66">
        <f t="shared" si="5"/>
        <v>31</v>
      </c>
      <c r="B42" s="79" t="s">
        <v>76</v>
      </c>
      <c r="C42" s="30"/>
      <c r="D42" s="31">
        <f t="shared" si="0"/>
        <v>0</v>
      </c>
      <c r="E42" s="30"/>
      <c r="F42" s="31">
        <f t="shared" si="1"/>
        <v>0</v>
      </c>
      <c r="G42" s="30"/>
      <c r="H42" s="31">
        <f t="shared" si="2"/>
        <v>0</v>
      </c>
      <c r="I42" s="30"/>
      <c r="J42" s="31">
        <f t="shared" si="3"/>
        <v>0</v>
      </c>
      <c r="K42" s="30"/>
      <c r="L42" s="31">
        <f t="shared" si="4"/>
        <v>0</v>
      </c>
      <c r="M42" s="30"/>
      <c r="N42" s="31">
        <f t="shared" si="6"/>
        <v>0</v>
      </c>
      <c r="O42" s="42">
        <f t="shared" si="7"/>
        <v>0</v>
      </c>
      <c r="P42" s="50"/>
      <c r="Q42" s="39"/>
      <c r="R42" s="39"/>
      <c r="S42" s="36">
        <f t="shared" si="8"/>
        <v>0</v>
      </c>
      <c r="T42" s="43">
        <f t="shared" si="9"/>
        <v>0</v>
      </c>
      <c r="U42" s="67">
        <f t="shared" si="10"/>
        <v>0</v>
      </c>
      <c r="V42" s="45"/>
      <c r="W42" s="83" cm="1">
        <f t="array" ref="W42">TRANSPOSE('ASISTENCIA A'!AI39)</f>
        <v>0</v>
      </c>
      <c r="X42" s="33"/>
    </row>
    <row r="43" spans="1:24" s="12" customFormat="1" ht="55.5" customHeight="1" thickBot="1" x14ac:dyDescent="0.35">
      <c r="A43" s="66">
        <f t="shared" si="5"/>
        <v>32</v>
      </c>
      <c r="B43" s="79" t="s">
        <v>77</v>
      </c>
      <c r="C43" s="30"/>
      <c r="D43" s="31">
        <f t="shared" si="0"/>
        <v>0</v>
      </c>
      <c r="E43" s="30"/>
      <c r="F43" s="31">
        <f t="shared" si="1"/>
        <v>0</v>
      </c>
      <c r="G43" s="30"/>
      <c r="H43" s="31">
        <f t="shared" si="2"/>
        <v>0</v>
      </c>
      <c r="I43" s="30"/>
      <c r="J43" s="31">
        <f t="shared" si="3"/>
        <v>0</v>
      </c>
      <c r="K43" s="30"/>
      <c r="L43" s="31">
        <f t="shared" si="4"/>
        <v>0</v>
      </c>
      <c r="M43" s="30"/>
      <c r="N43" s="31">
        <f t="shared" si="6"/>
        <v>0</v>
      </c>
      <c r="O43" s="42">
        <f t="shared" si="7"/>
        <v>0</v>
      </c>
      <c r="P43" s="50"/>
      <c r="Q43" s="39"/>
      <c r="R43" s="39"/>
      <c r="S43" s="36">
        <f t="shared" si="8"/>
        <v>0</v>
      </c>
      <c r="T43" s="43">
        <f t="shared" si="9"/>
        <v>0</v>
      </c>
      <c r="U43" s="67">
        <f t="shared" si="10"/>
        <v>0</v>
      </c>
      <c r="V43" s="45"/>
      <c r="W43" s="83" cm="1">
        <f t="array" ref="W43">TRANSPOSE('ASISTENCIA A'!AI40)</f>
        <v>0</v>
      </c>
      <c r="X43" s="33"/>
    </row>
    <row r="44" spans="1:24" s="12" customFormat="1" ht="55.5" customHeight="1" thickBot="1" x14ac:dyDescent="0.35">
      <c r="A44" s="66">
        <f t="shared" si="5"/>
        <v>33</v>
      </c>
      <c r="B44" s="79" t="s">
        <v>78</v>
      </c>
      <c r="C44" s="30"/>
      <c r="D44" s="31">
        <f t="shared" si="0"/>
        <v>0</v>
      </c>
      <c r="E44" s="30"/>
      <c r="F44" s="31">
        <f t="shared" si="1"/>
        <v>0</v>
      </c>
      <c r="G44" s="30"/>
      <c r="H44" s="31">
        <f t="shared" si="2"/>
        <v>0</v>
      </c>
      <c r="I44" s="30"/>
      <c r="J44" s="31">
        <f t="shared" si="3"/>
        <v>0</v>
      </c>
      <c r="K44" s="30"/>
      <c r="L44" s="31">
        <f t="shared" si="4"/>
        <v>0</v>
      </c>
      <c r="M44" s="30"/>
      <c r="N44" s="31">
        <f t="shared" si="6"/>
        <v>0</v>
      </c>
      <c r="O44" s="42">
        <f t="shared" si="7"/>
        <v>0</v>
      </c>
      <c r="P44" s="50"/>
      <c r="Q44" s="35"/>
      <c r="R44" s="39"/>
      <c r="S44" s="36">
        <f t="shared" si="8"/>
        <v>0</v>
      </c>
      <c r="T44" s="43">
        <f t="shared" si="9"/>
        <v>0</v>
      </c>
      <c r="U44" s="67">
        <f t="shared" si="10"/>
        <v>0</v>
      </c>
      <c r="V44" s="45"/>
      <c r="W44" s="83" cm="1">
        <f t="array" ref="W44">TRANSPOSE('ASISTENCIA A'!AI41)</f>
        <v>0</v>
      </c>
      <c r="X44" s="33"/>
    </row>
    <row r="45" spans="1:24" s="12" customFormat="1" ht="55.5" customHeight="1" thickBot="1" x14ac:dyDescent="0.35">
      <c r="A45" s="66">
        <f t="shared" si="5"/>
        <v>34</v>
      </c>
      <c r="B45" s="80" t="s">
        <v>79</v>
      </c>
      <c r="C45" s="30"/>
      <c r="D45" s="31">
        <f t="shared" si="0"/>
        <v>0</v>
      </c>
      <c r="E45" s="30"/>
      <c r="F45" s="31">
        <f t="shared" si="1"/>
        <v>0</v>
      </c>
      <c r="G45" s="30"/>
      <c r="H45" s="31">
        <f t="shared" si="2"/>
        <v>0</v>
      </c>
      <c r="I45" s="30"/>
      <c r="J45" s="31">
        <f t="shared" si="3"/>
        <v>0</v>
      </c>
      <c r="K45" s="30"/>
      <c r="L45" s="31">
        <f t="shared" si="4"/>
        <v>0</v>
      </c>
      <c r="M45" s="32"/>
      <c r="N45" s="31">
        <f t="shared" si="6"/>
        <v>0</v>
      </c>
      <c r="O45" s="42">
        <f t="shared" si="7"/>
        <v>0</v>
      </c>
      <c r="P45" s="50"/>
      <c r="Q45" s="34"/>
      <c r="R45" s="39"/>
      <c r="S45" s="36">
        <f t="shared" si="8"/>
        <v>0</v>
      </c>
      <c r="T45" s="43">
        <f t="shared" si="9"/>
        <v>0</v>
      </c>
      <c r="U45" s="67">
        <f t="shared" si="10"/>
        <v>0</v>
      </c>
      <c r="V45" s="45"/>
      <c r="W45" s="83" cm="1">
        <f t="array" ref="W45">TRANSPOSE('ASISTENCIA A'!AI42)</f>
        <v>0</v>
      </c>
      <c r="X45" s="33"/>
    </row>
    <row r="46" spans="1:24" s="12" customFormat="1" ht="51.75" customHeight="1" thickBot="1" x14ac:dyDescent="0.35">
      <c r="A46" s="66" t="str">
        <f t="shared" si="5"/>
        <v/>
      </c>
      <c r="B46" s="63"/>
      <c r="C46" s="30"/>
      <c r="D46" s="31">
        <f t="shared" si="0"/>
        <v>0</v>
      </c>
      <c r="E46" s="30"/>
      <c r="F46" s="31">
        <f t="shared" si="1"/>
        <v>0</v>
      </c>
      <c r="G46" s="30"/>
      <c r="H46" s="31">
        <f t="shared" si="2"/>
        <v>0</v>
      </c>
      <c r="I46" s="30"/>
      <c r="J46" s="31">
        <f t="shared" si="3"/>
        <v>0</v>
      </c>
      <c r="K46" s="30"/>
      <c r="L46" s="31">
        <f t="shared" si="4"/>
        <v>0</v>
      </c>
      <c r="M46" s="32"/>
      <c r="N46" s="31">
        <f t="shared" si="6"/>
        <v>0</v>
      </c>
      <c r="O46" s="42">
        <f t="shared" si="7"/>
        <v>0</v>
      </c>
      <c r="P46" s="50"/>
      <c r="Q46" s="34"/>
      <c r="R46" s="35"/>
      <c r="S46" s="36">
        <f t="shared" si="8"/>
        <v>0</v>
      </c>
      <c r="T46" s="43">
        <f t="shared" si="9"/>
        <v>0</v>
      </c>
      <c r="U46" s="67">
        <f t="shared" si="10"/>
        <v>0</v>
      </c>
      <c r="V46" s="45"/>
      <c r="W46" s="83" cm="1">
        <f t="array" ref="W46">TRANSPOSE('ASISTENCIA A'!AI43)</f>
        <v>0</v>
      </c>
      <c r="X46" s="33"/>
    </row>
    <row r="47" spans="1:24" s="12" customFormat="1" ht="51.75" customHeight="1" x14ac:dyDescent="0.3">
      <c r="A47" s="66" t="str">
        <f t="shared" si="5"/>
        <v/>
      </c>
      <c r="B47" s="64"/>
      <c r="C47" s="30"/>
      <c r="D47" s="31">
        <f t="shared" si="0"/>
        <v>0</v>
      </c>
      <c r="E47" s="30"/>
      <c r="F47" s="31">
        <f t="shared" si="1"/>
        <v>0</v>
      </c>
      <c r="G47" s="30"/>
      <c r="H47" s="31">
        <f t="shared" si="2"/>
        <v>0</v>
      </c>
      <c r="I47" s="30"/>
      <c r="J47" s="31">
        <f t="shared" si="3"/>
        <v>0</v>
      </c>
      <c r="K47" s="30"/>
      <c r="L47" s="31">
        <f t="shared" si="4"/>
        <v>0</v>
      </c>
      <c r="M47" s="32"/>
      <c r="N47" s="31">
        <f t="shared" si="6"/>
        <v>0</v>
      </c>
      <c r="O47" s="42">
        <f t="shared" si="7"/>
        <v>0</v>
      </c>
      <c r="P47" s="50"/>
      <c r="Q47" s="34"/>
      <c r="R47" s="34"/>
      <c r="S47" s="36">
        <f t="shared" si="8"/>
        <v>0</v>
      </c>
      <c r="T47" s="43">
        <f t="shared" si="9"/>
        <v>0</v>
      </c>
      <c r="U47" s="67">
        <f t="shared" si="10"/>
        <v>0</v>
      </c>
      <c r="V47" s="45"/>
      <c r="W47" s="83" cm="1">
        <f t="array" ref="W47">TRANSPOSE('ASISTENCIA A'!AI44)</f>
        <v>0</v>
      </c>
      <c r="X47" s="33"/>
    </row>
    <row r="48" spans="1:24" ht="23.25" x14ac:dyDescent="0.35">
      <c r="A48" s="28"/>
      <c r="B48" s="65"/>
      <c r="E48" s="30"/>
      <c r="G48" s="30"/>
      <c r="I48" s="29"/>
      <c r="K48" s="30"/>
    </row>
    <row r="49" spans="11:11" ht="23.25" x14ac:dyDescent="0.3">
      <c r="K49" s="30"/>
    </row>
    <row r="50" spans="11:11" ht="23.25" x14ac:dyDescent="0.3">
      <c r="K50" s="30"/>
    </row>
    <row r="51" spans="11:11" ht="23.25" x14ac:dyDescent="0.3">
      <c r="K51" s="30"/>
    </row>
    <row r="52" spans="11:11" ht="23.25" x14ac:dyDescent="0.3">
      <c r="K52" s="30"/>
    </row>
    <row r="53" spans="11:11" ht="23.25" x14ac:dyDescent="0.3">
      <c r="K53" s="30"/>
    </row>
  </sheetData>
  <sheetProtection algorithmName="SHA-512" hashValue="4l9GfxZ2LW1M3XcR1E2g98wrk2Y/HU4AuHjTTZaSwzhLzQsu/HoueOYnuFSeXVbBii6unXPomGShtv/3FiJrJQ==" saltValue="Sqa5f4L9ey2WLpwVBcexqA==" spinCount="100000" sheet="1" selectLockedCells="1"/>
  <mergeCells count="28">
    <mergeCell ref="L4:L10"/>
    <mergeCell ref="M4:M10"/>
    <mergeCell ref="N4:N10"/>
    <mergeCell ref="J4:J10"/>
    <mergeCell ref="T1:X1"/>
    <mergeCell ref="C1:S1"/>
    <mergeCell ref="O6:O11"/>
    <mergeCell ref="G4:G10"/>
    <mergeCell ref="H4:H10"/>
    <mergeCell ref="C2:O3"/>
    <mergeCell ref="I4:I10"/>
    <mergeCell ref="K4:K10"/>
    <mergeCell ref="P2:P11"/>
    <mergeCell ref="Q2:S3"/>
    <mergeCell ref="T2:T11"/>
    <mergeCell ref="U2:U11"/>
    <mergeCell ref="A10:B10"/>
    <mergeCell ref="C4:C10"/>
    <mergeCell ref="D4:D10"/>
    <mergeCell ref="E4:E10"/>
    <mergeCell ref="F4:F10"/>
    <mergeCell ref="A5:B5"/>
    <mergeCell ref="V2:V11"/>
    <mergeCell ref="X2:X11"/>
    <mergeCell ref="Q4:Q11"/>
    <mergeCell ref="R4:R11"/>
    <mergeCell ref="S4:S11"/>
    <mergeCell ref="W3:W11"/>
  </mergeCells>
  <conditionalFormatting sqref="A12:X12 A13:V17 W13:X47 A18:J47 L18:V47 K18:K53 E48 G48">
    <cfRule type="expression" dxfId="99" priority="3">
      <formula>$A12&lt;&gt;""</formula>
    </cfRule>
  </conditionalFormatting>
  <conditionalFormatting sqref="C12:C47 E12:E48 G12:G48 I12:I48 K12:K53">
    <cfRule type="containsText" dxfId="98" priority="31" stopIfTrue="1" operator="containsText" text="NP">
      <formula>NOT(ISERROR(SEARCH("NP",C12)))</formula>
    </cfRule>
  </conditionalFormatting>
  <conditionalFormatting sqref="C12:O12 C13:K17 L13:O47 C18:J46 C47:H47 J47 G12:G48 I12:I48 K12:K53 E13:E48">
    <cfRule type="cellIs" dxfId="97" priority="24" operator="lessThan">
      <formula>10</formula>
    </cfRule>
    <cfRule type="cellIs" dxfId="96" priority="25" operator="lessThan">
      <formula>9.4</formula>
    </cfRule>
    <cfRule type="containsText" dxfId="95" priority="27" operator="containsText" text="I">
      <formula>NOT(ISERROR(SEARCH("I",C12)))</formula>
    </cfRule>
    <cfRule type="containsText" dxfId="94" priority="28" operator="containsText" text="NP">
      <formula>NOT(ISERROR(SEARCH("NP",C12)))</formula>
    </cfRule>
    <cfRule type="containsText" dxfId="93" priority="29" operator="containsText" text="NE">
      <formula>NOT(ISERROR(SEARCH("NE",C12)))</formula>
    </cfRule>
  </conditionalFormatting>
  <conditionalFormatting sqref="D12:D47 F12:F47 H12:H47 J12:J47 L12:L47 N12:N47">
    <cfRule type="cellIs" dxfId="92" priority="22" operator="greaterThan">
      <formula>0</formula>
    </cfRule>
  </conditionalFormatting>
  <conditionalFormatting sqref="K12:K17 G12:G48 I12:I48 M12">
    <cfRule type="containsText" dxfId="91" priority="77" operator="containsText" text="i">
      <formula>NOT(ISERROR(SEARCH("i",G12)))</formula>
    </cfRule>
  </conditionalFormatting>
  <conditionalFormatting sqref="K12:K17 G12:G48 I12:I48 M12:M47">
    <cfRule type="cellIs" dxfId="90" priority="41" operator="lessThan">
      <formula>10</formula>
    </cfRule>
    <cfRule type="containsText" dxfId="89" priority="42" operator="containsText" text="NP">
      <formula>NOT(ISERROR(SEARCH("NP",G12)))</formula>
    </cfRule>
    <cfRule type="containsText" dxfId="88" priority="43" operator="containsText" text="NE">
      <formula>NOT(ISERROR(SEARCH("NE",G12)))</formula>
    </cfRule>
    <cfRule type="containsText" dxfId="87" priority="44" operator="containsText" text="I">
      <formula>NOT(ISERROR(SEARCH("I",G12)))</formula>
    </cfRule>
  </conditionalFormatting>
  <conditionalFormatting sqref="L18:O48 A12:O17 A18:J48 K18:K53">
    <cfRule type="expression" dxfId="86" priority="21">
      <formula>$A12=""</formula>
    </cfRule>
  </conditionalFormatting>
  <conditionalFormatting sqref="M12">
    <cfRule type="containsText" dxfId="85" priority="91" stopIfTrue="1" operator="containsText" text="NP">
      <formula>NOT(ISERROR(SEARCH("NP",M12)))</formula>
    </cfRule>
  </conditionalFormatting>
  <conditionalFormatting sqref="M40:M44">
    <cfRule type="expression" dxfId="84" priority="15">
      <formula>$A40&lt;&gt;""</formula>
    </cfRule>
  </conditionalFormatting>
  <conditionalFormatting sqref="O12:O47">
    <cfRule type="cellIs" dxfId="83" priority="73" operator="lessThan">
      <formula>10</formula>
    </cfRule>
  </conditionalFormatting>
  <conditionalFormatting sqref="O12:O48">
    <cfRule type="cellIs" dxfId="82" priority="23" operator="lessThan">
      <formula>9.4</formula>
    </cfRule>
  </conditionalFormatting>
  <conditionalFormatting sqref="Q12:R42 R14:R45 Q38:Q43">
    <cfRule type="expression" dxfId="81" priority="2">
      <formula>$A12&lt;&gt;""</formula>
    </cfRule>
  </conditionalFormatting>
  <conditionalFormatting sqref="T12:U47">
    <cfRule type="cellIs" dxfId="80" priority="12" operator="lessThan">
      <formula>9.5</formula>
    </cfRule>
  </conditionalFormatting>
  <printOptions verticalCentered="1"/>
  <pageMargins left="0" right="0" top="0" bottom="0" header="7.874015748031496E-2" footer="0"/>
  <pageSetup scale="4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9423-6888-46C0-82D9-90489AE4D59A}">
  <dimension ref="A1:AJ43"/>
  <sheetViews>
    <sheetView view="pageBreakPreview" zoomScale="32" zoomScaleNormal="40" zoomScaleSheetLayoutView="32" workbookViewId="0">
      <pane xSplit="3" ySplit="8" topLeftCell="D19" activePane="bottomRight" state="frozen"/>
      <selection activeCell="AD48" sqref="AD48"/>
      <selection pane="topRight" activeCell="AD48" sqref="AD48"/>
      <selection pane="bottomLeft" activeCell="AD48" sqref="AD48"/>
      <selection pane="bottomRight" activeCell="D3" sqref="D3:AH3"/>
    </sheetView>
  </sheetViews>
  <sheetFormatPr baseColWidth="10" defaultColWidth="9.140625" defaultRowHeight="23.25" x14ac:dyDescent="0.35"/>
  <cols>
    <col min="1" max="1" width="16.85546875" style="8" customWidth="1"/>
    <col min="2" max="2" width="102" style="7" customWidth="1"/>
    <col min="3" max="3" width="13.42578125" style="7" customWidth="1"/>
    <col min="4" max="34" width="13.85546875" style="7" customWidth="1"/>
    <col min="35" max="35" width="13.28515625" style="9" customWidth="1"/>
    <col min="36" max="16384" width="9.140625" style="10"/>
  </cols>
  <sheetData>
    <row r="1" spans="1:36" ht="0.95" customHeight="1" thickBot="1" x14ac:dyDescent="0.4"/>
    <row r="2" spans="1:36" ht="42.75" customHeight="1" thickBot="1" x14ac:dyDescent="0.45">
      <c r="A2" s="16"/>
      <c r="B2" s="16"/>
      <c r="C2" s="17"/>
      <c r="D2" s="121" t="s">
        <v>37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34"/>
      <c r="P2" s="134"/>
      <c r="Q2" s="134"/>
      <c r="R2" s="134"/>
      <c r="S2" s="134"/>
      <c r="T2" s="135" t="s">
        <v>40</v>
      </c>
      <c r="U2" s="136"/>
      <c r="V2" s="136"/>
      <c r="W2" s="136"/>
      <c r="X2" s="137">
        <f>SUM(AB2,AF2)</f>
        <v>34</v>
      </c>
      <c r="Y2" s="138"/>
      <c r="Z2" s="60" t="s">
        <v>17</v>
      </c>
      <c r="AA2" s="18" t="s">
        <v>18</v>
      </c>
      <c r="AB2" s="139">
        <f>COUNTIF(C9:C42,Z2)</f>
        <v>15</v>
      </c>
      <c r="AC2" s="139"/>
      <c r="AD2" s="61" t="s">
        <v>19</v>
      </c>
      <c r="AE2" s="18" t="s">
        <v>18</v>
      </c>
      <c r="AF2" s="139">
        <f>COUNTIF(C9:C42,AD2)</f>
        <v>19</v>
      </c>
      <c r="AG2" s="139"/>
      <c r="AH2" s="140"/>
      <c r="AI2" s="127" t="s">
        <v>25</v>
      </c>
    </row>
    <row r="3" spans="1:36" ht="53.25" customHeight="1" x14ac:dyDescent="0.4">
      <c r="A3" s="54"/>
      <c r="B3" s="57" t="str">
        <f>'AVANCE A'!B7</f>
        <v>2DO AÑO SECCIÓN "A"</v>
      </c>
      <c r="C3" s="54"/>
      <c r="D3" s="130" t="s">
        <v>39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3"/>
      <c r="AI3" s="128"/>
    </row>
    <row r="4" spans="1:36" ht="57" customHeight="1" x14ac:dyDescent="0.35">
      <c r="A4" s="55" t="s">
        <v>36</v>
      </c>
      <c r="B4" s="62" t="str">
        <f>'AVANCE A'!B9</f>
        <v>XX</v>
      </c>
      <c r="C4" s="125" t="s">
        <v>28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8"/>
    </row>
    <row r="5" spans="1:36" ht="57" customHeight="1" x14ac:dyDescent="0.35">
      <c r="A5" s="56" t="s">
        <v>33</v>
      </c>
      <c r="B5" s="62">
        <f>'AVANCE A'!B6</f>
        <v>0</v>
      </c>
      <c r="C5" s="125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8"/>
    </row>
    <row r="6" spans="1:36" ht="57" customHeight="1" x14ac:dyDescent="0.35">
      <c r="A6" s="124" t="s">
        <v>20</v>
      </c>
      <c r="B6" s="124"/>
      <c r="C6" s="125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9"/>
    </row>
    <row r="7" spans="1:36" ht="57" customHeight="1" x14ac:dyDescent="0.35">
      <c r="A7" s="19" t="s">
        <v>21</v>
      </c>
      <c r="B7" s="20" t="s">
        <v>15</v>
      </c>
      <c r="C7" s="126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21" t="s">
        <v>23</v>
      </c>
    </row>
    <row r="8" spans="1:36" ht="44.25" customHeight="1" x14ac:dyDescent="0.35">
      <c r="A8" s="23"/>
      <c r="B8" s="24"/>
      <c r="C8" s="59" t="s">
        <v>22</v>
      </c>
      <c r="D8" s="48">
        <v>1</v>
      </c>
      <c r="E8" s="48" t="s">
        <v>31</v>
      </c>
      <c r="F8" s="48" t="s">
        <v>32</v>
      </c>
      <c r="G8" s="48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49"/>
    </row>
    <row r="9" spans="1:36" ht="66.75" customHeight="1" x14ac:dyDescent="0.35">
      <c r="A9" s="22">
        <v>1</v>
      </c>
      <c r="B9" s="74" t="str">
        <f>TRANSPOSE('AVANCE A'!B12)</f>
        <v>SALAZAR GARCÍA JOSNEIVERTH JOSÉ</v>
      </c>
      <c r="C9" s="68" t="s">
        <v>17</v>
      </c>
      <c r="D9" s="58"/>
      <c r="E9" s="25"/>
      <c r="F9" s="25">
        <v>6</v>
      </c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7">
        <f>SUM(D9:AH9)</f>
        <v>6</v>
      </c>
      <c r="AJ9" s="11"/>
    </row>
    <row r="10" spans="1:36" ht="66.75" customHeight="1" x14ac:dyDescent="0.35">
      <c r="A10" s="22">
        <v>2</v>
      </c>
      <c r="B10" s="74" t="str" cm="1">
        <f t="array" ref="B10">TRANSPOSE('AVANCE A'!B13)</f>
        <v>ALFONZO ARREAZA VIVIANA MARIE</v>
      </c>
      <c r="C10" s="68" t="s">
        <v>19</v>
      </c>
      <c r="D10" s="58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>
        <f t="shared" ref="AI10:AI42" si="0">SUM(D10:AH10)</f>
        <v>0</v>
      </c>
      <c r="AJ10" s="11"/>
    </row>
    <row r="11" spans="1:36" ht="66.75" customHeight="1" x14ac:dyDescent="0.35">
      <c r="A11" s="22">
        <v>3</v>
      </c>
      <c r="B11" s="74" t="str" cm="1">
        <f t="array" ref="B11">TRANSPOSE('AVANCE A'!B14)</f>
        <v>VALDEZ FRONTADO CÉSAR IGNACIO</v>
      </c>
      <c r="C11" s="68" t="s">
        <v>17</v>
      </c>
      <c r="D11" s="58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>
        <f t="shared" si="0"/>
        <v>0</v>
      </c>
      <c r="AJ11" s="11"/>
    </row>
    <row r="12" spans="1:36" ht="66.75" customHeight="1" x14ac:dyDescent="0.35">
      <c r="A12" s="22">
        <v>4</v>
      </c>
      <c r="B12" s="74" t="str" cm="1">
        <f t="array" ref="B12">TRANSPOSE('AVANCE A'!B15)</f>
        <v>FERRER FELIBERTT ÁNGEL FABIÁN</v>
      </c>
      <c r="C12" s="68" t="s">
        <v>17</v>
      </c>
      <c r="D12" s="58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>
        <f t="shared" si="0"/>
        <v>0</v>
      </c>
      <c r="AJ12" s="11"/>
    </row>
    <row r="13" spans="1:36" ht="66.75" customHeight="1" x14ac:dyDescent="0.35">
      <c r="A13" s="22">
        <v>5</v>
      </c>
      <c r="B13" s="74" t="str" cm="1">
        <f t="array" ref="B13">TRANSPOSE('AVANCE A'!B16)</f>
        <v>CAZORLA GARCÍA SABRINA VITTORIA ASUSEJ</v>
      </c>
      <c r="C13" s="68" t="s">
        <v>19</v>
      </c>
      <c r="D13" s="58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>
        <f t="shared" si="0"/>
        <v>0</v>
      </c>
      <c r="AJ13" s="11"/>
    </row>
    <row r="14" spans="1:36" ht="66.75" customHeight="1" x14ac:dyDescent="0.35">
      <c r="A14" s="22">
        <v>6</v>
      </c>
      <c r="B14" s="74" t="str" cm="1">
        <f t="array" ref="B14">TRANSPOSE('AVANCE A'!B17)</f>
        <v>FIGUERA FIGUEROA JOSÉ GABRIEL</v>
      </c>
      <c r="C14" s="68" t="s">
        <v>17</v>
      </c>
      <c r="D14" s="58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>
        <f t="shared" si="0"/>
        <v>0</v>
      </c>
      <c r="AJ14" s="11"/>
    </row>
    <row r="15" spans="1:36" ht="66.75" customHeight="1" x14ac:dyDescent="0.35">
      <c r="A15" s="22">
        <v>7</v>
      </c>
      <c r="B15" s="74" t="str" cm="1">
        <f t="array" ref="B15">TRANSPOSE('AVANCE A'!B18)</f>
        <v>FIGUEROA BOLÍVAR FABRICIO ALEXANDER</v>
      </c>
      <c r="C15" s="68" t="s">
        <v>17</v>
      </c>
      <c r="D15" s="58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>
        <f t="shared" si="0"/>
        <v>0</v>
      </c>
      <c r="AJ15" s="11"/>
    </row>
    <row r="16" spans="1:36" ht="66.75" customHeight="1" x14ac:dyDescent="0.35">
      <c r="A16" s="22">
        <v>8</v>
      </c>
      <c r="B16" s="74" t="str" cm="1">
        <f t="array" ref="B16">TRANSPOSE('AVANCE A'!B19)</f>
        <v>ALFONZO COVA JOSÉ DANIEL</v>
      </c>
      <c r="C16" s="68" t="s">
        <v>17</v>
      </c>
      <c r="D16" s="58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>
        <f t="shared" si="0"/>
        <v>0</v>
      </c>
      <c r="AJ16" s="11"/>
    </row>
    <row r="17" spans="1:36" ht="66.75" customHeight="1" x14ac:dyDescent="0.35">
      <c r="A17" s="22">
        <v>9</v>
      </c>
      <c r="B17" s="74" t="str" cm="1">
        <f t="array" ref="B17">TRANSPOSE('AVANCE A'!B20)</f>
        <v>SILVA CEDEÑO CRISTHIAN DANIEL</v>
      </c>
      <c r="C17" s="68" t="s">
        <v>17</v>
      </c>
      <c r="D17" s="58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>
        <f t="shared" si="0"/>
        <v>0</v>
      </c>
      <c r="AJ17" s="11"/>
    </row>
    <row r="18" spans="1:36" ht="66.75" customHeight="1" x14ac:dyDescent="0.35">
      <c r="A18" s="22">
        <v>10</v>
      </c>
      <c r="B18" s="74" t="str" cm="1">
        <f t="array" ref="B18">TRANSPOSE('AVANCE A'!B21)</f>
        <v>PÉREZ CALZADILLA ALAN JOSUÉ</v>
      </c>
      <c r="C18" s="68" t="s">
        <v>17</v>
      </c>
      <c r="D18" s="58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>
        <f t="shared" si="0"/>
        <v>0</v>
      </c>
      <c r="AJ18" s="11"/>
    </row>
    <row r="19" spans="1:36" ht="66.75" customHeight="1" x14ac:dyDescent="0.35">
      <c r="A19" s="22">
        <v>11</v>
      </c>
      <c r="B19" s="74" t="str" cm="1">
        <f t="array" ref="B19">TRANSPOSE('AVANCE A'!B22)</f>
        <v>BRUCES GUZMÁN FRANYELIS ALEJANDRA</v>
      </c>
      <c r="C19" s="68" t="s">
        <v>19</v>
      </c>
      <c r="D19" s="58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>
        <f t="shared" si="0"/>
        <v>0</v>
      </c>
      <c r="AJ19" s="11"/>
    </row>
    <row r="20" spans="1:36" ht="66.75" customHeight="1" x14ac:dyDescent="0.35">
      <c r="A20" s="22">
        <v>12</v>
      </c>
      <c r="B20" s="74" t="str" cm="1">
        <f t="array" ref="B20">TRANSPOSE('AVANCE A'!B23)</f>
        <v>VALDERRAMA BELLORÍN AARON SANTIAGO</v>
      </c>
      <c r="C20" s="68" t="s">
        <v>17</v>
      </c>
      <c r="D20" s="58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7">
        <f t="shared" si="0"/>
        <v>0</v>
      </c>
      <c r="AJ20" s="11"/>
    </row>
    <row r="21" spans="1:36" ht="66.75" customHeight="1" x14ac:dyDescent="0.35">
      <c r="A21" s="22">
        <v>13</v>
      </c>
      <c r="B21" s="74" t="str" cm="1">
        <f t="array" ref="B21">TRANSPOSE('AVANCE A'!B24)</f>
        <v>GUILLENT HERNÁNDEZ BRYAN MIGUEL</v>
      </c>
      <c r="C21" s="68" t="s">
        <v>17</v>
      </c>
      <c r="D21" s="58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7">
        <f t="shared" si="0"/>
        <v>0</v>
      </c>
      <c r="AJ21" s="11"/>
    </row>
    <row r="22" spans="1:36" ht="66.75" customHeight="1" x14ac:dyDescent="0.35">
      <c r="A22" s="22">
        <v>14</v>
      </c>
      <c r="B22" s="74" t="str" cm="1">
        <f t="array" ref="B22">TRANSPOSE('AVANCE A'!B25)</f>
        <v>BARRIOS TOVAR SOFÍA VICTORIA</v>
      </c>
      <c r="C22" s="68" t="s">
        <v>19</v>
      </c>
      <c r="D22" s="58"/>
      <c r="E22" s="25"/>
      <c r="F22" s="25"/>
      <c r="G22" s="25"/>
      <c r="H22" s="25"/>
      <c r="I22" s="25"/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>
        <f t="shared" si="0"/>
        <v>0</v>
      </c>
      <c r="AJ22" s="11"/>
    </row>
    <row r="23" spans="1:36" ht="66.75" customHeight="1" x14ac:dyDescent="0.35">
      <c r="A23" s="22">
        <v>15</v>
      </c>
      <c r="B23" s="74" t="str" cm="1">
        <f t="array" ref="B23">TRANSPOSE('AVANCE A'!B26)</f>
        <v>VIDALES INFANTE ELIANNYS CAROLINA</v>
      </c>
      <c r="C23" s="68" t="s">
        <v>19</v>
      </c>
      <c r="D23" s="58"/>
      <c r="E23" s="25"/>
      <c r="F23" s="25"/>
      <c r="G23" s="25"/>
      <c r="H23" s="25"/>
      <c r="I23" s="25"/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7">
        <f t="shared" si="0"/>
        <v>0</v>
      </c>
      <c r="AJ23" s="11"/>
    </row>
    <row r="24" spans="1:36" ht="66.75" customHeight="1" x14ac:dyDescent="0.35">
      <c r="A24" s="22">
        <v>16</v>
      </c>
      <c r="B24" s="74" t="str" cm="1">
        <f t="array" ref="B24">TRANSPOSE('AVANCE A'!B27)</f>
        <v>CASTRO VALDERRAMA AILAMA NAYSA</v>
      </c>
      <c r="C24" s="68" t="s">
        <v>19</v>
      </c>
      <c r="D24" s="58"/>
      <c r="E24" s="25"/>
      <c r="F24" s="25"/>
      <c r="G24" s="25"/>
      <c r="H24" s="25"/>
      <c r="I24" s="25"/>
      <c r="J24" s="2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 t="s">
        <v>28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7">
        <f t="shared" si="0"/>
        <v>0</v>
      </c>
      <c r="AJ24" s="11"/>
    </row>
    <row r="25" spans="1:36" ht="66.75" customHeight="1" x14ac:dyDescent="0.35">
      <c r="A25" s="22">
        <v>17</v>
      </c>
      <c r="B25" s="74" t="str" cm="1">
        <f t="array" ref="B25">TRANSPOSE('AVANCE A'!B28)</f>
        <v>GARCÍA NÚÑEZ LUCÍA VALERIA</v>
      </c>
      <c r="C25" s="68" t="s">
        <v>19</v>
      </c>
      <c r="D25" s="58"/>
      <c r="E25" s="25"/>
      <c r="F25" s="25"/>
      <c r="G25" s="25"/>
      <c r="H25" s="25"/>
      <c r="I25" s="25"/>
      <c r="J25" s="25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>
        <f t="shared" si="0"/>
        <v>0</v>
      </c>
      <c r="AJ25" s="11"/>
    </row>
    <row r="26" spans="1:36" ht="66.75" customHeight="1" x14ac:dyDescent="0.35">
      <c r="A26" s="22">
        <v>18</v>
      </c>
      <c r="B26" s="74" t="str" cm="1">
        <f t="array" ref="B26">TRANSPOSE('AVANCE A'!B29)</f>
        <v>GAMARDO SUFIA DAVIHANA ESTHER</v>
      </c>
      <c r="C26" s="68" t="s">
        <v>19</v>
      </c>
      <c r="D26" s="58"/>
      <c r="E26" s="25"/>
      <c r="F26" s="25"/>
      <c r="G26" s="25"/>
      <c r="H26" s="25"/>
      <c r="I26" s="25"/>
      <c r="J26" s="25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>
        <f t="shared" si="0"/>
        <v>0</v>
      </c>
      <c r="AJ26" s="11"/>
    </row>
    <row r="27" spans="1:36" ht="66.75" customHeight="1" x14ac:dyDescent="0.35">
      <c r="A27" s="22">
        <v>19</v>
      </c>
      <c r="B27" s="74" t="str" cm="1">
        <f t="array" ref="B27">TRANSPOSE('AVANCE A'!B30)</f>
        <v>VELÁSQUEZ VALBUENA EUGENIA VICTORIA</v>
      </c>
      <c r="C27" s="68" t="s">
        <v>19</v>
      </c>
      <c r="D27" s="58"/>
      <c r="E27" s="25"/>
      <c r="F27" s="25"/>
      <c r="G27" s="25"/>
      <c r="H27" s="25"/>
      <c r="I27" s="25"/>
      <c r="J27" s="25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>
        <f t="shared" si="0"/>
        <v>0</v>
      </c>
      <c r="AJ27" s="11"/>
    </row>
    <row r="28" spans="1:36" ht="66.75" customHeight="1" x14ac:dyDescent="0.35">
      <c r="A28" s="22">
        <v>20</v>
      </c>
      <c r="B28" s="74" t="str" cm="1">
        <f t="array" ref="B28">TRANSPOSE('AVANCE A'!B31)</f>
        <v>SILANO ARAY JHOSELYN ANARIC</v>
      </c>
      <c r="C28" s="68" t="s">
        <v>19</v>
      </c>
      <c r="D28" s="58"/>
      <c r="E28" s="25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>
        <f t="shared" si="0"/>
        <v>0</v>
      </c>
      <c r="AJ28" s="11"/>
    </row>
    <row r="29" spans="1:36" ht="66.75" customHeight="1" x14ac:dyDescent="0.35">
      <c r="A29" s="22">
        <v>21</v>
      </c>
      <c r="B29" s="74" t="str" cm="1">
        <f t="array" ref="B29">TRANSPOSE('AVANCE A'!B32)</f>
        <v>PERDOMO CAMPERO SCARLET SOFIA</v>
      </c>
      <c r="C29" s="68" t="s">
        <v>19</v>
      </c>
      <c r="D29" s="58"/>
      <c r="E29" s="25"/>
      <c r="F29" s="25"/>
      <c r="G29" s="25"/>
      <c r="H29" s="25"/>
      <c r="I29" s="25"/>
      <c r="J29" s="25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>
        <f t="shared" si="0"/>
        <v>0</v>
      </c>
      <c r="AJ29" s="11"/>
    </row>
    <row r="30" spans="1:36" ht="66.75" customHeight="1" x14ac:dyDescent="0.35">
      <c r="A30" s="22">
        <v>22</v>
      </c>
      <c r="B30" s="74" t="str" cm="1">
        <f t="array" ref="B30">TRANSPOSE('AVANCE A'!B33)</f>
        <v>PUERTA ALBORNOZ ABDIEL JOSUÉ</v>
      </c>
      <c r="C30" s="68" t="s">
        <v>17</v>
      </c>
      <c r="D30" s="58"/>
      <c r="E30" s="25"/>
      <c r="F30" s="25"/>
      <c r="G30" s="25"/>
      <c r="H30" s="25"/>
      <c r="I30" s="25"/>
      <c r="J30" s="25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>
        <f t="shared" si="0"/>
        <v>0</v>
      </c>
      <c r="AJ30" s="11"/>
    </row>
    <row r="31" spans="1:36" ht="66.75" customHeight="1" x14ac:dyDescent="0.35">
      <c r="A31" s="22">
        <v>23</v>
      </c>
      <c r="B31" s="74" t="str" cm="1">
        <f t="array" ref="B31">TRANSPOSE('AVANCE A'!B34)</f>
        <v>GUACARÁN RUIZ ORLANDYS VALENTINA</v>
      </c>
      <c r="C31" s="68" t="s">
        <v>19</v>
      </c>
      <c r="D31" s="58"/>
      <c r="E31" s="25"/>
      <c r="F31" s="25"/>
      <c r="G31" s="25"/>
      <c r="H31" s="25"/>
      <c r="I31" s="25"/>
      <c r="J31" s="25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>
        <f t="shared" si="0"/>
        <v>0</v>
      </c>
      <c r="AJ31" s="11"/>
    </row>
    <row r="32" spans="1:36" ht="66.75" customHeight="1" x14ac:dyDescent="0.35">
      <c r="A32" s="22">
        <v>24</v>
      </c>
      <c r="B32" s="74" t="str" cm="1">
        <f t="array" ref="B32">TRANSPOSE('AVANCE A'!B35)</f>
        <v>GONZÁLEZ SUÁREZ SEBASTIÁN ANTUAN</v>
      </c>
      <c r="C32" s="68" t="s">
        <v>17</v>
      </c>
      <c r="D32" s="58"/>
      <c r="E32" s="25"/>
      <c r="F32" s="25"/>
      <c r="G32" s="25"/>
      <c r="H32" s="25"/>
      <c r="I32" s="25"/>
      <c r="J32" s="25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>
        <f t="shared" si="0"/>
        <v>0</v>
      </c>
      <c r="AJ32" s="11"/>
    </row>
    <row r="33" spans="1:36" ht="66.75" customHeight="1" x14ac:dyDescent="0.35">
      <c r="A33" s="22">
        <v>25</v>
      </c>
      <c r="B33" s="74" t="str" cm="1">
        <f t="array" ref="B33">TRANSPOSE('AVANCE A'!B36)</f>
        <v>FERNÁNDEZ GARCÍA ALEXANDRA ISABEL</v>
      </c>
      <c r="C33" s="68" t="s">
        <v>19</v>
      </c>
      <c r="D33" s="58"/>
      <c r="E33" s="25"/>
      <c r="F33" s="25"/>
      <c r="G33" s="25"/>
      <c r="H33" s="25"/>
      <c r="I33" s="25"/>
      <c r="J33" s="25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>
        <f t="shared" si="0"/>
        <v>0</v>
      </c>
      <c r="AJ33" s="11"/>
    </row>
    <row r="34" spans="1:36" ht="66.75" customHeight="1" x14ac:dyDescent="0.35">
      <c r="A34" s="22">
        <v>26</v>
      </c>
      <c r="B34" s="74" t="str" cm="1">
        <f t="array" ref="B34">TRANSPOSE('AVANCE A'!B37)</f>
        <v>FIGUEROA GUERRA HILARI VALENTINA</v>
      </c>
      <c r="C34" s="68" t="s">
        <v>19</v>
      </c>
      <c r="D34" s="58"/>
      <c r="E34" s="25"/>
      <c r="F34" s="25"/>
      <c r="G34" s="25"/>
      <c r="H34" s="25"/>
      <c r="I34" s="25"/>
      <c r="J34" s="25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>
        <f t="shared" si="0"/>
        <v>0</v>
      </c>
      <c r="AJ34" s="11"/>
    </row>
    <row r="35" spans="1:36" ht="66.75" customHeight="1" x14ac:dyDescent="0.35">
      <c r="A35" s="22">
        <v>27</v>
      </c>
      <c r="B35" s="74" t="str" cm="1">
        <f t="array" ref="B35">TRANSPOSE('AVANCE A'!B38)</f>
        <v>PÉREZ MAESTRE CAMILA YANNELYS</v>
      </c>
      <c r="C35" s="68" t="s">
        <v>19</v>
      </c>
      <c r="D35" s="58"/>
      <c r="E35" s="25"/>
      <c r="F35" s="25"/>
      <c r="G35" s="25"/>
      <c r="H35" s="25"/>
      <c r="I35" s="25"/>
      <c r="J35" s="25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>
        <f t="shared" si="0"/>
        <v>0</v>
      </c>
      <c r="AJ35" s="11"/>
    </row>
    <row r="36" spans="1:36" ht="66.75" customHeight="1" x14ac:dyDescent="0.35">
      <c r="A36" s="22">
        <v>28</v>
      </c>
      <c r="B36" s="74" t="str" cm="1">
        <f t="array" ref="B36">TRANSPOSE('AVANCE A'!B39)</f>
        <v>LEGENDRE RODRIGUEZ VICTORIA BELEN</v>
      </c>
      <c r="C36" s="68" t="s">
        <v>19</v>
      </c>
      <c r="D36" s="58"/>
      <c r="E36" s="25"/>
      <c r="F36" s="25"/>
      <c r="G36" s="25"/>
      <c r="H36" s="25"/>
      <c r="I36" s="25"/>
      <c r="J36" s="25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>
        <f t="shared" si="0"/>
        <v>0</v>
      </c>
      <c r="AJ36" s="11"/>
    </row>
    <row r="37" spans="1:36" ht="66.75" customHeight="1" x14ac:dyDescent="0.35">
      <c r="A37" s="22">
        <v>29</v>
      </c>
      <c r="B37" s="74" t="str" cm="1">
        <f t="array" ref="B37">TRANSPOSE('AVANCE A'!B40)</f>
        <v>PÉREZ SOLORZANO NATHALIE MAILETH</v>
      </c>
      <c r="C37" s="68" t="s">
        <v>19</v>
      </c>
      <c r="D37" s="58"/>
      <c r="E37" s="25"/>
      <c r="F37" s="25"/>
      <c r="G37" s="25"/>
      <c r="H37" s="25"/>
      <c r="I37" s="25"/>
      <c r="J37" s="25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>
        <f t="shared" si="0"/>
        <v>0</v>
      </c>
      <c r="AJ37" s="11"/>
    </row>
    <row r="38" spans="1:36" ht="66.75" customHeight="1" x14ac:dyDescent="0.35">
      <c r="A38" s="22">
        <v>30</v>
      </c>
      <c r="B38" s="74" t="str" cm="1">
        <f t="array" ref="B38">TRANSPOSE('AVANCE A'!B41)</f>
        <v>NAVARRO CARRASCAL ESTEBAN ADRIÁN</v>
      </c>
      <c r="C38" s="68" t="s">
        <v>17</v>
      </c>
      <c r="D38" s="58"/>
      <c r="E38" s="25"/>
      <c r="F38" s="25"/>
      <c r="G38" s="25"/>
      <c r="H38" s="25"/>
      <c r="I38" s="25"/>
      <c r="J38" s="25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>
        <f t="shared" si="0"/>
        <v>0</v>
      </c>
      <c r="AJ38" s="11"/>
    </row>
    <row r="39" spans="1:36" ht="66.75" customHeight="1" x14ac:dyDescent="0.35">
      <c r="A39" s="22">
        <v>31</v>
      </c>
      <c r="B39" s="74" t="str" cm="1">
        <f t="array" ref="B39">TRANSPOSE('AVANCE A'!B42)</f>
        <v>BRAVO MARTÍNEZ IVANNA VICTORIA</v>
      </c>
      <c r="C39" s="68" t="s">
        <v>19</v>
      </c>
      <c r="D39" s="58"/>
      <c r="E39" s="25"/>
      <c r="F39" s="25"/>
      <c r="G39" s="25"/>
      <c r="H39" s="25"/>
      <c r="I39" s="25"/>
      <c r="J39" s="25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>
        <f t="shared" si="0"/>
        <v>0</v>
      </c>
      <c r="AJ39" s="11"/>
    </row>
    <row r="40" spans="1:36" ht="66.75" customHeight="1" x14ac:dyDescent="0.35">
      <c r="A40" s="22">
        <v>32</v>
      </c>
      <c r="B40" s="74" t="str" cm="1">
        <f t="array" ref="B40">TRANSPOSE('AVANCE A'!B43)</f>
        <v>BARRIOS GUZMÁN JUAN DIEGO</v>
      </c>
      <c r="C40" s="68" t="s">
        <v>17</v>
      </c>
      <c r="D40" s="58"/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>
        <f t="shared" si="0"/>
        <v>0</v>
      </c>
      <c r="AJ40" s="11"/>
    </row>
    <row r="41" spans="1:36" ht="66.75" customHeight="1" x14ac:dyDescent="0.35">
      <c r="A41" s="22">
        <v>33</v>
      </c>
      <c r="B41" s="74" t="str" cm="1">
        <f t="array" ref="B41">TRANSPOSE('AVANCE A'!B44)</f>
        <v>GUZMÁN PÉREZ RICARDO AURELIO</v>
      </c>
      <c r="C41" s="68" t="s">
        <v>17</v>
      </c>
      <c r="D41" s="58"/>
      <c r="E41" s="25"/>
      <c r="F41" s="25"/>
      <c r="G41" s="25"/>
      <c r="H41" s="25"/>
      <c r="I41" s="25"/>
      <c r="J41" s="25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>
        <f t="shared" si="0"/>
        <v>0</v>
      </c>
      <c r="AJ41" s="11"/>
    </row>
    <row r="42" spans="1:36" ht="66.75" customHeight="1" x14ac:dyDescent="0.35">
      <c r="A42" s="22">
        <v>34</v>
      </c>
      <c r="B42" s="74" t="str" cm="1">
        <f t="array" ref="B42">TRANSPOSE('AVANCE A'!B45)</f>
        <v>DELLA MORTE VALLENILLA SOPHIA ANTONELLA</v>
      </c>
      <c r="C42" s="68" t="s">
        <v>19</v>
      </c>
      <c r="D42" s="58"/>
      <c r="E42" s="46"/>
      <c r="F42" s="46"/>
      <c r="G42" s="46"/>
      <c r="H42" s="46"/>
      <c r="I42" s="46"/>
      <c r="J42" s="46"/>
      <c r="K42" s="46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 t="s">
        <v>28</v>
      </c>
      <c r="AF42" s="47"/>
      <c r="AG42" s="47"/>
      <c r="AH42" s="47"/>
      <c r="AI42" s="27">
        <f t="shared" si="0"/>
        <v>0</v>
      </c>
      <c r="AJ42" s="11"/>
    </row>
    <row r="43" spans="1:36" x14ac:dyDescent="0.35">
      <c r="B43" s="9"/>
    </row>
  </sheetData>
  <sheetProtection algorithmName="SHA-512" hashValue="O2fLXmIspGA+c5gg7qHPy2Tlu4ejPc/GMbzceVRk9pKVU9NFURddbUlneoxI7xraGOj43WvsMuydASxEGDgcsA==" saltValue="+WJzAtizEX27BwaBq7S1Jg==" spinCount="100000" sheet="1" objects="1" scenarios="1"/>
  <mergeCells count="41">
    <mergeCell ref="AF4:AF7"/>
    <mergeCell ref="AG4:AG7"/>
    <mergeCell ref="AH4:AH7"/>
    <mergeCell ref="AI2:AI6"/>
    <mergeCell ref="Z4:Z7"/>
    <mergeCell ref="AA4:AA7"/>
    <mergeCell ref="AB4:AB7"/>
    <mergeCell ref="AC4:AC7"/>
    <mergeCell ref="AD4:AD7"/>
    <mergeCell ref="AE4:AE7"/>
    <mergeCell ref="D3:AH3"/>
    <mergeCell ref="O2:S2"/>
    <mergeCell ref="T2:W2"/>
    <mergeCell ref="X2:Y2"/>
    <mergeCell ref="AB2:AC2"/>
    <mergeCell ref="AF2:AH2"/>
    <mergeCell ref="Y4:Y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A6:B6"/>
    <mergeCell ref="H4:H7"/>
    <mergeCell ref="I4:I7"/>
    <mergeCell ref="J4:J7"/>
    <mergeCell ref="K4:K7"/>
    <mergeCell ref="C4:C7"/>
    <mergeCell ref="D2:N2"/>
    <mergeCell ref="M4:M7"/>
    <mergeCell ref="D4:D7"/>
    <mergeCell ref="E4:E7"/>
    <mergeCell ref="F4:F7"/>
    <mergeCell ref="G4:G7"/>
    <mergeCell ref="L4:L7"/>
  </mergeCells>
  <phoneticPr fontId="12" type="noConversion"/>
  <pageMargins left="0.19685039370078741" right="0.11811023622047245" top="0.19685039370078741" bottom="0.19685039370078741" header="0.51181102362204722" footer="0.51181102362204722"/>
  <pageSetup scale="2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1EAB-F69B-4862-8076-14CEF46B7E7D}">
  <sheetPr>
    <pageSetUpPr autoPageBreaks="0"/>
  </sheetPr>
  <dimension ref="A1:X53"/>
  <sheetViews>
    <sheetView view="pageBreakPreview" zoomScale="60" zoomScaleNormal="60" zoomScalePageLayoutView="80" workbookViewId="0">
      <pane xSplit="2" ySplit="11" topLeftCell="C12" activePane="bottomRight" state="frozen"/>
      <selection activeCell="M14" sqref="M14"/>
      <selection pane="topRight" activeCell="M14" sqref="M14"/>
      <selection pane="bottomLeft" activeCell="M14" sqref="M14"/>
      <selection pane="bottomRight" activeCell="E12" sqref="E12"/>
    </sheetView>
  </sheetViews>
  <sheetFormatPr baseColWidth="10" defaultColWidth="11.42578125" defaultRowHeight="16.5" x14ac:dyDescent="0.3"/>
  <cols>
    <col min="1" max="1" width="13.5703125" style="1" customWidth="1"/>
    <col min="2" max="2" width="64.140625" style="2" customWidth="1"/>
    <col min="3" max="12" width="8.7109375" style="1" customWidth="1"/>
    <col min="13" max="14" width="7.42578125" style="1" customWidth="1"/>
    <col min="15" max="15" width="10.140625" style="1" customWidth="1"/>
    <col min="16" max="16" width="7.140625" customWidth="1"/>
    <col min="17" max="18" width="7.7109375" customWidth="1"/>
    <col min="19" max="19" width="9.5703125" customWidth="1"/>
    <col min="20" max="20" width="10.42578125" customWidth="1"/>
    <col min="21" max="22" width="7.42578125" customWidth="1"/>
    <col min="23" max="23" width="7.140625" customWidth="1"/>
    <col min="24" max="24" width="39.42578125" customWidth="1"/>
  </cols>
  <sheetData>
    <row r="1" spans="1:24" ht="29.25" customHeight="1" x14ac:dyDescent="0.35">
      <c r="A1" s="3"/>
      <c r="B1" s="4"/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6" t="s">
        <v>27</v>
      </c>
      <c r="U1" s="107"/>
      <c r="V1" s="107"/>
      <c r="W1" s="107"/>
      <c r="X1" s="107"/>
    </row>
    <row r="2" spans="1:24" ht="14.1" customHeight="1" x14ac:dyDescent="0.3">
      <c r="A2" s="3"/>
      <c r="B2" s="4"/>
      <c r="C2" s="111" t="s">
        <v>26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  <c r="P2" s="117" t="s">
        <v>24</v>
      </c>
      <c r="Q2" s="119" t="s">
        <v>2</v>
      </c>
      <c r="R2" s="119"/>
      <c r="S2" s="119"/>
      <c r="T2" s="120" t="s">
        <v>3</v>
      </c>
      <c r="U2" s="84" t="s">
        <v>4</v>
      </c>
      <c r="V2" s="84" t="s">
        <v>5</v>
      </c>
      <c r="W2" s="44"/>
      <c r="X2" s="87" t="s">
        <v>6</v>
      </c>
    </row>
    <row r="3" spans="1:24" ht="20.100000000000001" customHeight="1" x14ac:dyDescent="0.3">
      <c r="A3" s="5"/>
      <c r="B3" s="51" t="s">
        <v>7</v>
      </c>
      <c r="C3" s="114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  <c r="P3" s="118"/>
      <c r="Q3" s="119"/>
      <c r="R3" s="119"/>
      <c r="S3" s="119"/>
      <c r="T3" s="120"/>
      <c r="U3" s="85"/>
      <c r="V3" s="85"/>
      <c r="W3" s="92" t="s">
        <v>1</v>
      </c>
      <c r="X3" s="87"/>
    </row>
    <row r="4" spans="1:24" ht="28.5" customHeight="1" x14ac:dyDescent="0.3">
      <c r="A4" s="6"/>
      <c r="B4" s="51" t="s">
        <v>8</v>
      </c>
      <c r="C4" s="95" t="s">
        <v>29</v>
      </c>
      <c r="D4" s="98">
        <f t="array" ref="D4">TRANSPOSE(D11)%</f>
        <v>0.1</v>
      </c>
      <c r="E4" s="95" t="s">
        <v>38</v>
      </c>
      <c r="F4" s="98">
        <f t="array" ref="F4">TRANSPOSE(F11)%</f>
        <v>0.05</v>
      </c>
      <c r="G4" s="95"/>
      <c r="H4" s="98" cm="1">
        <f t="array" ref="H4">TRANSPOSE(H11)%</f>
        <v>0</v>
      </c>
      <c r="I4" s="95"/>
      <c r="J4" s="98" cm="1">
        <f t="array" ref="J4">TRANSPOSE(J11)%</f>
        <v>0</v>
      </c>
      <c r="K4" s="95"/>
      <c r="L4" s="103" cm="1">
        <f t="array" ref="L4">TRANSPOSE(L11)%</f>
        <v>0</v>
      </c>
      <c r="M4" s="95"/>
      <c r="N4" s="103" cm="1">
        <f t="array" ref="N4">TRANSPOSE(N11)%</f>
        <v>0</v>
      </c>
      <c r="O4" s="13" t="s">
        <v>9</v>
      </c>
      <c r="P4" s="118"/>
      <c r="Q4" s="88" t="s">
        <v>10</v>
      </c>
      <c r="R4" s="88" t="s">
        <v>11</v>
      </c>
      <c r="S4" s="90" t="s">
        <v>12</v>
      </c>
      <c r="T4" s="120"/>
      <c r="U4" s="85"/>
      <c r="V4" s="85"/>
      <c r="W4" s="92"/>
      <c r="X4" s="87"/>
    </row>
    <row r="5" spans="1:24" ht="45" customHeight="1" x14ac:dyDescent="0.3">
      <c r="A5" s="101"/>
      <c r="B5" s="102"/>
      <c r="C5" s="96"/>
      <c r="D5" s="99"/>
      <c r="E5" s="96"/>
      <c r="F5" s="99"/>
      <c r="G5" s="96"/>
      <c r="H5" s="99"/>
      <c r="I5" s="96"/>
      <c r="J5" s="99"/>
      <c r="K5" s="96"/>
      <c r="L5" s="104"/>
      <c r="M5" s="96"/>
      <c r="N5" s="104"/>
      <c r="O5" s="14">
        <f>SUM(D11,F11,H11,J11,L11,N11)</f>
        <v>15</v>
      </c>
      <c r="P5" s="118"/>
      <c r="Q5" s="88"/>
      <c r="R5" s="88"/>
      <c r="S5" s="90"/>
      <c r="T5" s="120"/>
      <c r="U5" s="85"/>
      <c r="V5" s="85"/>
      <c r="W5" s="92"/>
      <c r="X5" s="87"/>
    </row>
    <row r="6" spans="1:24" ht="25.5" customHeight="1" x14ac:dyDescent="0.3">
      <c r="A6" s="52" t="s">
        <v>33</v>
      </c>
      <c r="B6" s="15"/>
      <c r="C6" s="96"/>
      <c r="D6" s="99"/>
      <c r="E6" s="96"/>
      <c r="F6" s="99"/>
      <c r="G6" s="96"/>
      <c r="H6" s="99"/>
      <c r="I6" s="96"/>
      <c r="J6" s="99"/>
      <c r="K6" s="96"/>
      <c r="L6" s="104"/>
      <c r="M6" s="96"/>
      <c r="N6" s="104"/>
      <c r="O6" s="103" t="s">
        <v>13</v>
      </c>
      <c r="P6" s="118"/>
      <c r="Q6" s="88"/>
      <c r="R6" s="88"/>
      <c r="S6" s="90"/>
      <c r="T6" s="120"/>
      <c r="U6" s="85"/>
      <c r="V6" s="85"/>
      <c r="W6" s="92"/>
      <c r="X6" s="87"/>
    </row>
    <row r="7" spans="1:24" ht="25.5" customHeight="1" x14ac:dyDescent="0.3">
      <c r="A7" s="52" t="s">
        <v>34</v>
      </c>
      <c r="B7" s="53" t="s">
        <v>42</v>
      </c>
      <c r="C7" s="96"/>
      <c r="D7" s="99"/>
      <c r="E7" s="96"/>
      <c r="F7" s="99"/>
      <c r="G7" s="96"/>
      <c r="H7" s="99"/>
      <c r="I7" s="96"/>
      <c r="J7" s="99"/>
      <c r="K7" s="96"/>
      <c r="L7" s="104"/>
      <c r="M7" s="96"/>
      <c r="N7" s="104"/>
      <c r="O7" s="110"/>
      <c r="P7" s="118"/>
      <c r="Q7" s="88"/>
      <c r="R7" s="88"/>
      <c r="S7" s="90"/>
      <c r="T7" s="120"/>
      <c r="U7" s="85"/>
      <c r="V7" s="85"/>
      <c r="W7" s="92"/>
      <c r="X7" s="87"/>
    </row>
    <row r="8" spans="1:24" ht="25.5" customHeight="1" x14ac:dyDescent="0.3">
      <c r="A8" s="52" t="s">
        <v>35</v>
      </c>
      <c r="B8" s="53" t="s">
        <v>37</v>
      </c>
      <c r="C8" s="96"/>
      <c r="D8" s="99"/>
      <c r="E8" s="96"/>
      <c r="F8" s="99"/>
      <c r="G8" s="96"/>
      <c r="H8" s="99"/>
      <c r="I8" s="96"/>
      <c r="J8" s="99"/>
      <c r="K8" s="96"/>
      <c r="L8" s="104"/>
      <c r="M8" s="96"/>
      <c r="N8" s="104"/>
      <c r="O8" s="110"/>
      <c r="P8" s="118"/>
      <c r="Q8" s="88"/>
      <c r="R8" s="88"/>
      <c r="S8" s="90"/>
      <c r="T8" s="120"/>
      <c r="U8" s="85"/>
      <c r="V8" s="85"/>
      <c r="W8" s="92"/>
      <c r="X8" s="87"/>
    </row>
    <row r="9" spans="1:24" ht="25.5" customHeight="1" x14ac:dyDescent="0.3">
      <c r="A9" s="52" t="s">
        <v>36</v>
      </c>
      <c r="B9" s="15" t="s">
        <v>38</v>
      </c>
      <c r="C9" s="96"/>
      <c r="D9" s="99"/>
      <c r="E9" s="96"/>
      <c r="F9" s="99"/>
      <c r="G9" s="96"/>
      <c r="H9" s="99"/>
      <c r="I9" s="96"/>
      <c r="J9" s="99"/>
      <c r="K9" s="96"/>
      <c r="L9" s="104"/>
      <c r="M9" s="96"/>
      <c r="N9" s="104"/>
      <c r="O9" s="110"/>
      <c r="P9" s="118"/>
      <c r="Q9" s="88"/>
      <c r="R9" s="88"/>
      <c r="S9" s="90"/>
      <c r="T9" s="120"/>
      <c r="U9" s="85"/>
      <c r="V9" s="85"/>
      <c r="W9" s="92"/>
      <c r="X9" s="87"/>
    </row>
    <row r="10" spans="1:24" ht="20.25" x14ac:dyDescent="0.3">
      <c r="A10" s="93" t="s">
        <v>30</v>
      </c>
      <c r="B10" s="94"/>
      <c r="C10" s="97"/>
      <c r="D10" s="100"/>
      <c r="E10" s="97"/>
      <c r="F10" s="100"/>
      <c r="G10" s="97"/>
      <c r="H10" s="100"/>
      <c r="I10" s="97"/>
      <c r="J10" s="100"/>
      <c r="K10" s="97"/>
      <c r="L10" s="105"/>
      <c r="M10" s="97"/>
      <c r="N10" s="105"/>
      <c r="O10" s="110"/>
      <c r="P10" s="118"/>
      <c r="Q10" s="88"/>
      <c r="R10" s="88"/>
      <c r="S10" s="90"/>
      <c r="T10" s="120"/>
      <c r="U10" s="85"/>
      <c r="V10" s="85"/>
      <c r="W10" s="92"/>
      <c r="X10" s="87"/>
    </row>
    <row r="11" spans="1:24" s="10" customFormat="1" ht="30.75" customHeight="1" thickBot="1" x14ac:dyDescent="0.4">
      <c r="A11" s="40" t="s">
        <v>14</v>
      </c>
      <c r="B11" s="41" t="s">
        <v>15</v>
      </c>
      <c r="C11" s="70" t="s">
        <v>16</v>
      </c>
      <c r="D11" s="71">
        <v>10</v>
      </c>
      <c r="E11" s="70" t="s">
        <v>16</v>
      </c>
      <c r="F11" s="71">
        <v>5</v>
      </c>
      <c r="G11" s="70" t="s">
        <v>16</v>
      </c>
      <c r="H11" s="71"/>
      <c r="I11" s="70" t="s">
        <v>16</v>
      </c>
      <c r="J11" s="71"/>
      <c r="K11" s="70" t="s">
        <v>16</v>
      </c>
      <c r="L11" s="71"/>
      <c r="M11" s="70" t="s">
        <v>16</v>
      </c>
      <c r="N11" s="71"/>
      <c r="O11" s="110"/>
      <c r="P11" s="118"/>
      <c r="Q11" s="89"/>
      <c r="R11" s="89"/>
      <c r="S11" s="91"/>
      <c r="T11" s="120"/>
      <c r="U11" s="86"/>
      <c r="V11" s="86"/>
      <c r="W11" s="92"/>
      <c r="X11" s="87"/>
    </row>
    <row r="12" spans="1:24" s="12" customFormat="1" ht="55.5" customHeight="1" thickBot="1" x14ac:dyDescent="0.35">
      <c r="A12" s="66">
        <v>1</v>
      </c>
      <c r="B12" s="78" t="s">
        <v>80</v>
      </c>
      <c r="C12" s="30"/>
      <c r="D12" s="31">
        <f t="shared" ref="D12:D46" si="0">N(C12)*($D$11)/100</f>
        <v>0</v>
      </c>
      <c r="E12" s="30"/>
      <c r="F12" s="31">
        <f t="shared" ref="F12:F46" si="1">N(E12)*($F$11)/100</f>
        <v>0</v>
      </c>
      <c r="G12" s="30"/>
      <c r="H12" s="31">
        <f t="shared" ref="H12:H46" si="2">N(G12)*($H$11)/100</f>
        <v>0</v>
      </c>
      <c r="I12" s="30"/>
      <c r="J12" s="31">
        <f t="shared" ref="J12:J46" si="3">N(I12)*($J$11)/100</f>
        <v>0</v>
      </c>
      <c r="K12" s="30"/>
      <c r="L12" s="31">
        <f t="shared" ref="L12:L46" si="4">N(K12)*($L$11)/100</f>
        <v>0</v>
      </c>
      <c r="M12" s="30"/>
      <c r="N12" s="31">
        <f>N(M12)*($N$11)/100</f>
        <v>0</v>
      </c>
      <c r="O12" s="42">
        <f>SUM(D12,F12,H12,J12,L12,N12)</f>
        <v>0</v>
      </c>
      <c r="P12" s="50"/>
      <c r="Q12" s="37"/>
      <c r="R12" s="37"/>
      <c r="S12" s="36">
        <f>SUM(IFERROR(VALUE(SUBSTITUTE(P12,".",",")), N(P12)),IFERROR(VALUE(SUBSTITUTE(Q12,".",",")), N(Q12)),IFERROR(VALUE(SUBSTITUTE(R12,".",",")), N(R12)))</f>
        <v>0</v>
      </c>
      <c r="T12" s="43">
        <f>SUM(O12,S12)</f>
        <v>0</v>
      </c>
      <c r="U12" s="67">
        <f>T12</f>
        <v>0</v>
      </c>
      <c r="V12" s="45"/>
      <c r="W12" s="83" cm="1">
        <f t="array" ref="W12">TRANSPOSE('ASISTENCIA B'!AI9)</f>
        <v>2</v>
      </c>
      <c r="X12" s="33"/>
    </row>
    <row r="13" spans="1:24" s="12" customFormat="1" ht="55.5" customHeight="1" thickBot="1" x14ac:dyDescent="0.35">
      <c r="A13" s="66">
        <f t="shared" ref="A13:A47" si="5">IF(B13&lt;&gt;"",A12 + 1, "")</f>
        <v>2</v>
      </c>
      <c r="B13" s="79" t="s">
        <v>81</v>
      </c>
      <c r="C13" s="30"/>
      <c r="D13" s="31">
        <f t="shared" si="0"/>
        <v>0</v>
      </c>
      <c r="E13" s="30"/>
      <c r="F13" s="31">
        <f t="shared" si="1"/>
        <v>0</v>
      </c>
      <c r="G13" s="30"/>
      <c r="H13" s="31">
        <f t="shared" si="2"/>
        <v>0</v>
      </c>
      <c r="I13" s="30"/>
      <c r="J13" s="31">
        <f t="shared" si="3"/>
        <v>0</v>
      </c>
      <c r="K13" s="30"/>
      <c r="L13" s="31">
        <f t="shared" si="4"/>
        <v>0</v>
      </c>
      <c r="M13" s="30"/>
      <c r="N13" s="31">
        <f t="shared" ref="N13:N46" si="6">N(M13)*($N$11)/100</f>
        <v>0</v>
      </c>
      <c r="O13" s="42">
        <f t="shared" ref="O13:O47" si="7">SUM(D13,F13,H13,J13,L13,N13)</f>
        <v>0</v>
      </c>
      <c r="P13" s="50"/>
      <c r="Q13" s="39"/>
      <c r="R13" s="39"/>
      <c r="S13" s="36">
        <f t="shared" ref="S13:S47" si="8">SUM(IFERROR(VALUE(SUBSTITUTE(P13,".",",")), N(P13)),IFERROR(VALUE(SUBSTITUTE(Q13,".",",")), N(Q13)),IFERROR(VALUE(SUBSTITUTE(R13,".",",")), N(R13)))</f>
        <v>0</v>
      </c>
      <c r="T13" s="43">
        <f t="shared" ref="T13:T47" si="9">SUM(O13,S13)</f>
        <v>0</v>
      </c>
      <c r="U13" s="67">
        <f t="shared" ref="U13:U47" si="10">T13</f>
        <v>0</v>
      </c>
      <c r="V13" s="45"/>
      <c r="W13" s="83" cm="1">
        <f t="array" ref="W13">TRANSPOSE('ASISTENCIA B'!AI10)</f>
        <v>0</v>
      </c>
      <c r="X13" s="33"/>
    </row>
    <row r="14" spans="1:24" s="12" customFormat="1" ht="55.5" customHeight="1" thickBot="1" x14ac:dyDescent="0.35">
      <c r="A14" s="66">
        <f t="shared" si="5"/>
        <v>3</v>
      </c>
      <c r="B14" s="79" t="s">
        <v>82</v>
      </c>
      <c r="C14" s="30"/>
      <c r="D14" s="31">
        <f t="shared" si="0"/>
        <v>0</v>
      </c>
      <c r="E14" s="30"/>
      <c r="F14" s="31">
        <f t="shared" si="1"/>
        <v>0</v>
      </c>
      <c r="G14" s="30"/>
      <c r="H14" s="31">
        <f t="shared" si="2"/>
        <v>0</v>
      </c>
      <c r="I14" s="30"/>
      <c r="J14" s="31">
        <f t="shared" si="3"/>
        <v>0</v>
      </c>
      <c r="K14" s="30"/>
      <c r="L14" s="31">
        <f t="shared" si="4"/>
        <v>0</v>
      </c>
      <c r="M14" s="30"/>
      <c r="N14" s="31">
        <f t="shared" si="6"/>
        <v>0</v>
      </c>
      <c r="O14" s="42">
        <f t="shared" si="7"/>
        <v>0</v>
      </c>
      <c r="P14" s="50"/>
      <c r="Q14" s="39"/>
      <c r="R14" s="37"/>
      <c r="S14" s="36">
        <f t="shared" si="8"/>
        <v>0</v>
      </c>
      <c r="T14" s="43">
        <f t="shared" si="9"/>
        <v>0</v>
      </c>
      <c r="U14" s="67">
        <f t="shared" si="10"/>
        <v>0</v>
      </c>
      <c r="V14" s="45"/>
      <c r="W14" s="83" cm="1">
        <f t="array" ref="W14">TRANSPOSE('ASISTENCIA B'!AI11)</f>
        <v>0</v>
      </c>
      <c r="X14" s="33"/>
    </row>
    <row r="15" spans="1:24" s="12" customFormat="1" ht="55.5" customHeight="1" thickBot="1" x14ac:dyDescent="0.35">
      <c r="A15" s="66">
        <f t="shared" si="5"/>
        <v>4</v>
      </c>
      <c r="B15" s="79" t="s">
        <v>83</v>
      </c>
      <c r="C15" s="30"/>
      <c r="D15" s="31">
        <f t="shared" si="0"/>
        <v>0</v>
      </c>
      <c r="E15" s="30"/>
      <c r="F15" s="31">
        <f t="shared" si="1"/>
        <v>0</v>
      </c>
      <c r="G15" s="30"/>
      <c r="H15" s="31">
        <f t="shared" si="2"/>
        <v>0</v>
      </c>
      <c r="I15" s="30"/>
      <c r="J15" s="31">
        <f t="shared" si="3"/>
        <v>0</v>
      </c>
      <c r="K15" s="30"/>
      <c r="L15" s="31">
        <f t="shared" si="4"/>
        <v>0</v>
      </c>
      <c r="M15" s="30"/>
      <c r="N15" s="31">
        <f t="shared" si="6"/>
        <v>0</v>
      </c>
      <c r="O15" s="42">
        <f t="shared" si="7"/>
        <v>0</v>
      </c>
      <c r="P15" s="50"/>
      <c r="Q15" s="39"/>
      <c r="R15" s="39"/>
      <c r="S15" s="36">
        <f t="shared" si="8"/>
        <v>0</v>
      </c>
      <c r="T15" s="43">
        <f t="shared" si="9"/>
        <v>0</v>
      </c>
      <c r="U15" s="67">
        <f t="shared" si="10"/>
        <v>0</v>
      </c>
      <c r="V15" s="45"/>
      <c r="W15" s="83" cm="1">
        <f t="array" ref="W15">TRANSPOSE('ASISTENCIA B'!AI12)</f>
        <v>0</v>
      </c>
      <c r="X15" s="33"/>
    </row>
    <row r="16" spans="1:24" s="12" customFormat="1" ht="55.5" customHeight="1" thickBot="1" x14ac:dyDescent="0.35">
      <c r="A16" s="66">
        <f t="shared" si="5"/>
        <v>5</v>
      </c>
      <c r="B16" s="79" t="s">
        <v>84</v>
      </c>
      <c r="C16" s="30"/>
      <c r="D16" s="31">
        <f t="shared" si="0"/>
        <v>0</v>
      </c>
      <c r="E16" s="30"/>
      <c r="F16" s="31">
        <f t="shared" si="1"/>
        <v>0</v>
      </c>
      <c r="G16" s="30"/>
      <c r="H16" s="31">
        <f t="shared" si="2"/>
        <v>0</v>
      </c>
      <c r="I16" s="30"/>
      <c r="J16" s="31">
        <f t="shared" si="3"/>
        <v>0</v>
      </c>
      <c r="K16" s="30"/>
      <c r="L16" s="31">
        <f t="shared" si="4"/>
        <v>0</v>
      </c>
      <c r="M16" s="30"/>
      <c r="N16" s="31">
        <f t="shared" si="6"/>
        <v>0</v>
      </c>
      <c r="O16" s="42">
        <f t="shared" si="7"/>
        <v>0</v>
      </c>
      <c r="P16" s="50"/>
      <c r="Q16" s="39"/>
      <c r="R16" s="39"/>
      <c r="S16" s="36">
        <f t="shared" si="8"/>
        <v>0</v>
      </c>
      <c r="T16" s="43">
        <f t="shared" si="9"/>
        <v>0</v>
      </c>
      <c r="U16" s="67">
        <f t="shared" si="10"/>
        <v>0</v>
      </c>
      <c r="V16" s="45"/>
      <c r="W16" s="83" cm="1">
        <f t="array" ref="W16">TRANSPOSE('ASISTENCIA B'!AI13)</f>
        <v>0</v>
      </c>
      <c r="X16" s="33"/>
    </row>
    <row r="17" spans="1:24" s="12" customFormat="1" ht="55.5" customHeight="1" thickBot="1" x14ac:dyDescent="0.35">
      <c r="A17" s="66">
        <f t="shared" si="5"/>
        <v>6</v>
      </c>
      <c r="B17" s="79" t="s">
        <v>85</v>
      </c>
      <c r="C17" s="30"/>
      <c r="D17" s="31">
        <f t="shared" si="0"/>
        <v>0</v>
      </c>
      <c r="E17" s="30"/>
      <c r="F17" s="31">
        <f t="shared" si="1"/>
        <v>0</v>
      </c>
      <c r="G17" s="30"/>
      <c r="H17" s="31">
        <f t="shared" si="2"/>
        <v>0</v>
      </c>
      <c r="I17" s="30"/>
      <c r="J17" s="31">
        <f t="shared" si="3"/>
        <v>0</v>
      </c>
      <c r="K17" s="30"/>
      <c r="L17" s="31">
        <f t="shared" si="4"/>
        <v>0</v>
      </c>
      <c r="M17" s="30"/>
      <c r="N17" s="31">
        <f t="shared" si="6"/>
        <v>0</v>
      </c>
      <c r="O17" s="42">
        <f t="shared" si="7"/>
        <v>0</v>
      </c>
      <c r="P17" s="50"/>
      <c r="Q17" s="39"/>
      <c r="R17" s="39"/>
      <c r="S17" s="36">
        <f t="shared" si="8"/>
        <v>0</v>
      </c>
      <c r="T17" s="43">
        <f t="shared" si="9"/>
        <v>0</v>
      </c>
      <c r="U17" s="67">
        <f t="shared" si="10"/>
        <v>0</v>
      </c>
      <c r="V17" s="45"/>
      <c r="W17" s="83" cm="1">
        <f t="array" ref="W17">TRANSPOSE('ASISTENCIA B'!AI14)</f>
        <v>0</v>
      </c>
      <c r="X17" s="33"/>
    </row>
    <row r="18" spans="1:24" s="12" customFormat="1" ht="55.5" customHeight="1" thickBot="1" x14ac:dyDescent="0.35">
      <c r="A18" s="66">
        <f t="shared" si="5"/>
        <v>7</v>
      </c>
      <c r="B18" s="79" t="s">
        <v>86</v>
      </c>
      <c r="C18" s="30"/>
      <c r="D18" s="31">
        <f t="shared" si="0"/>
        <v>0</v>
      </c>
      <c r="E18" s="30"/>
      <c r="F18" s="31">
        <f t="shared" si="1"/>
        <v>0</v>
      </c>
      <c r="G18" s="30"/>
      <c r="H18" s="31">
        <f t="shared" si="2"/>
        <v>0</v>
      </c>
      <c r="I18" s="30"/>
      <c r="J18" s="31">
        <f t="shared" si="3"/>
        <v>0</v>
      </c>
      <c r="K18" s="30"/>
      <c r="L18" s="31">
        <f t="shared" si="4"/>
        <v>0</v>
      </c>
      <c r="M18" s="30"/>
      <c r="N18" s="31">
        <f t="shared" si="6"/>
        <v>0</v>
      </c>
      <c r="O18" s="42">
        <f t="shared" si="7"/>
        <v>0</v>
      </c>
      <c r="P18" s="50"/>
      <c r="Q18" s="39"/>
      <c r="R18" s="39"/>
      <c r="S18" s="36">
        <f t="shared" si="8"/>
        <v>0</v>
      </c>
      <c r="T18" s="43">
        <f t="shared" si="9"/>
        <v>0</v>
      </c>
      <c r="U18" s="67">
        <f t="shared" si="10"/>
        <v>0</v>
      </c>
      <c r="V18" s="45"/>
      <c r="W18" s="83" cm="1">
        <f t="array" ref="W18">TRANSPOSE('ASISTENCIA B'!AI15)</f>
        <v>0</v>
      </c>
      <c r="X18" s="33"/>
    </row>
    <row r="19" spans="1:24" s="12" customFormat="1" ht="55.5" customHeight="1" thickBot="1" x14ac:dyDescent="0.35">
      <c r="A19" s="66">
        <f t="shared" si="5"/>
        <v>8</v>
      </c>
      <c r="B19" s="79" t="s">
        <v>87</v>
      </c>
      <c r="C19" s="30"/>
      <c r="D19" s="31">
        <f t="shared" si="0"/>
        <v>0</v>
      </c>
      <c r="E19" s="30"/>
      <c r="F19" s="31">
        <f t="shared" si="1"/>
        <v>0</v>
      </c>
      <c r="G19" s="30"/>
      <c r="H19" s="31">
        <f t="shared" si="2"/>
        <v>0</v>
      </c>
      <c r="I19" s="30"/>
      <c r="J19" s="31">
        <f t="shared" si="3"/>
        <v>0</v>
      </c>
      <c r="K19" s="30"/>
      <c r="L19" s="31">
        <f t="shared" si="4"/>
        <v>0</v>
      </c>
      <c r="M19" s="30"/>
      <c r="N19" s="31">
        <f t="shared" si="6"/>
        <v>0</v>
      </c>
      <c r="O19" s="42">
        <f t="shared" si="7"/>
        <v>0</v>
      </c>
      <c r="P19" s="50"/>
      <c r="Q19" s="39"/>
      <c r="R19" s="39"/>
      <c r="S19" s="36">
        <f t="shared" si="8"/>
        <v>0</v>
      </c>
      <c r="T19" s="43">
        <f t="shared" si="9"/>
        <v>0</v>
      </c>
      <c r="U19" s="67">
        <f t="shared" si="10"/>
        <v>0</v>
      </c>
      <c r="V19" s="45"/>
      <c r="W19" s="83" cm="1">
        <f t="array" ref="W19">TRANSPOSE('ASISTENCIA B'!AI16)</f>
        <v>0</v>
      </c>
      <c r="X19" s="33"/>
    </row>
    <row r="20" spans="1:24" s="12" customFormat="1" ht="55.5" customHeight="1" thickBot="1" x14ac:dyDescent="0.35">
      <c r="A20" s="66">
        <f t="shared" si="5"/>
        <v>9</v>
      </c>
      <c r="B20" s="79" t="s">
        <v>88</v>
      </c>
      <c r="C20" s="30"/>
      <c r="D20" s="31">
        <f t="shared" si="0"/>
        <v>0</v>
      </c>
      <c r="E20" s="30"/>
      <c r="F20" s="31">
        <f t="shared" si="1"/>
        <v>0</v>
      </c>
      <c r="G20" s="30"/>
      <c r="H20" s="31">
        <f t="shared" si="2"/>
        <v>0</v>
      </c>
      <c r="I20" s="30"/>
      <c r="J20" s="31">
        <f t="shared" si="3"/>
        <v>0</v>
      </c>
      <c r="K20" s="30"/>
      <c r="L20" s="31">
        <f t="shared" si="4"/>
        <v>0</v>
      </c>
      <c r="M20" s="30"/>
      <c r="N20" s="31">
        <f t="shared" si="6"/>
        <v>0</v>
      </c>
      <c r="O20" s="42">
        <f t="shared" si="7"/>
        <v>0</v>
      </c>
      <c r="P20" s="50"/>
      <c r="Q20" s="39"/>
      <c r="R20" s="39"/>
      <c r="S20" s="36">
        <f t="shared" si="8"/>
        <v>0</v>
      </c>
      <c r="T20" s="43">
        <f t="shared" si="9"/>
        <v>0</v>
      </c>
      <c r="U20" s="67">
        <f t="shared" si="10"/>
        <v>0</v>
      </c>
      <c r="V20" s="45"/>
      <c r="W20" s="83" cm="1">
        <f t="array" ref="W20">TRANSPOSE('ASISTENCIA B'!AI17)</f>
        <v>0</v>
      </c>
      <c r="X20" s="33"/>
    </row>
    <row r="21" spans="1:24" s="12" customFormat="1" ht="55.5" customHeight="1" thickBot="1" x14ac:dyDescent="0.35">
      <c r="A21" s="66">
        <f t="shared" si="5"/>
        <v>10</v>
      </c>
      <c r="B21" s="79" t="s">
        <v>89</v>
      </c>
      <c r="C21" s="30"/>
      <c r="D21" s="31">
        <f t="shared" si="0"/>
        <v>0</v>
      </c>
      <c r="E21" s="30"/>
      <c r="F21" s="31">
        <f t="shared" si="1"/>
        <v>0</v>
      </c>
      <c r="G21" s="30"/>
      <c r="H21" s="31">
        <f t="shared" si="2"/>
        <v>0</v>
      </c>
      <c r="I21" s="30"/>
      <c r="J21" s="31">
        <f t="shared" si="3"/>
        <v>0</v>
      </c>
      <c r="K21" s="30"/>
      <c r="L21" s="31">
        <f t="shared" si="4"/>
        <v>0</v>
      </c>
      <c r="M21" s="30"/>
      <c r="N21" s="31">
        <f t="shared" si="6"/>
        <v>0</v>
      </c>
      <c r="O21" s="42">
        <f t="shared" si="7"/>
        <v>0</v>
      </c>
      <c r="P21" s="50"/>
      <c r="Q21" s="39"/>
      <c r="R21" s="39"/>
      <c r="S21" s="36">
        <f t="shared" si="8"/>
        <v>0</v>
      </c>
      <c r="T21" s="43">
        <f t="shared" si="9"/>
        <v>0</v>
      </c>
      <c r="U21" s="67">
        <f t="shared" si="10"/>
        <v>0</v>
      </c>
      <c r="V21" s="45"/>
      <c r="W21" s="83" cm="1">
        <f t="array" ref="W21">TRANSPOSE('ASISTENCIA B'!AI18)</f>
        <v>0</v>
      </c>
      <c r="X21" s="33"/>
    </row>
    <row r="22" spans="1:24" s="12" customFormat="1" ht="55.5" customHeight="1" thickBot="1" x14ac:dyDescent="0.35">
      <c r="A22" s="66">
        <f t="shared" si="5"/>
        <v>11</v>
      </c>
      <c r="B22" s="79" t="s">
        <v>90</v>
      </c>
      <c r="C22" s="30"/>
      <c r="D22" s="31">
        <f t="shared" si="0"/>
        <v>0</v>
      </c>
      <c r="E22" s="30"/>
      <c r="F22" s="31">
        <f t="shared" si="1"/>
        <v>0</v>
      </c>
      <c r="G22" s="30"/>
      <c r="H22" s="31">
        <f t="shared" si="2"/>
        <v>0</v>
      </c>
      <c r="I22" s="30"/>
      <c r="J22" s="31">
        <f t="shared" si="3"/>
        <v>0</v>
      </c>
      <c r="K22" s="30"/>
      <c r="L22" s="31">
        <f t="shared" si="4"/>
        <v>0</v>
      </c>
      <c r="M22" s="30"/>
      <c r="N22" s="31">
        <f t="shared" si="6"/>
        <v>0</v>
      </c>
      <c r="O22" s="42">
        <f t="shared" si="7"/>
        <v>0</v>
      </c>
      <c r="P22" s="50"/>
      <c r="Q22" s="39"/>
      <c r="R22" s="39"/>
      <c r="S22" s="36">
        <f t="shared" si="8"/>
        <v>0</v>
      </c>
      <c r="T22" s="43">
        <f t="shared" si="9"/>
        <v>0</v>
      </c>
      <c r="U22" s="67">
        <f t="shared" si="10"/>
        <v>0</v>
      </c>
      <c r="V22" s="45"/>
      <c r="W22" s="83" cm="1">
        <f t="array" ref="W22">TRANSPOSE('ASISTENCIA B'!AI19)</f>
        <v>0</v>
      </c>
      <c r="X22" s="33"/>
    </row>
    <row r="23" spans="1:24" s="12" customFormat="1" ht="55.5" customHeight="1" thickBot="1" x14ac:dyDescent="0.35">
      <c r="A23" s="66">
        <f t="shared" si="5"/>
        <v>12</v>
      </c>
      <c r="B23" s="79" t="s">
        <v>91</v>
      </c>
      <c r="C23" s="30"/>
      <c r="D23" s="31">
        <f t="shared" si="0"/>
        <v>0</v>
      </c>
      <c r="E23" s="30"/>
      <c r="F23" s="31">
        <f t="shared" si="1"/>
        <v>0</v>
      </c>
      <c r="G23" s="30"/>
      <c r="H23" s="31">
        <f t="shared" si="2"/>
        <v>0</v>
      </c>
      <c r="I23" s="30"/>
      <c r="J23" s="31">
        <f t="shared" si="3"/>
        <v>0</v>
      </c>
      <c r="K23" s="30"/>
      <c r="L23" s="31">
        <f t="shared" si="4"/>
        <v>0</v>
      </c>
      <c r="M23" s="30"/>
      <c r="N23" s="31">
        <f t="shared" si="6"/>
        <v>0</v>
      </c>
      <c r="O23" s="42">
        <f t="shared" si="7"/>
        <v>0</v>
      </c>
      <c r="P23" s="50"/>
      <c r="Q23" s="39"/>
      <c r="R23" s="39"/>
      <c r="S23" s="36">
        <f t="shared" si="8"/>
        <v>0</v>
      </c>
      <c r="T23" s="43">
        <f t="shared" si="9"/>
        <v>0</v>
      </c>
      <c r="U23" s="67">
        <f t="shared" si="10"/>
        <v>0</v>
      </c>
      <c r="V23" s="45"/>
      <c r="W23" s="83" cm="1">
        <f t="array" ref="W23">TRANSPOSE('ASISTENCIA B'!AI20)</f>
        <v>0</v>
      </c>
      <c r="X23" s="33"/>
    </row>
    <row r="24" spans="1:24" s="12" customFormat="1" ht="55.5" customHeight="1" thickBot="1" x14ac:dyDescent="0.35">
      <c r="A24" s="66">
        <f t="shared" si="5"/>
        <v>13</v>
      </c>
      <c r="B24" s="79" t="s">
        <v>92</v>
      </c>
      <c r="C24" s="30"/>
      <c r="D24" s="31">
        <f t="shared" si="0"/>
        <v>0</v>
      </c>
      <c r="E24" s="30"/>
      <c r="F24" s="31">
        <f t="shared" si="1"/>
        <v>0</v>
      </c>
      <c r="G24" s="30"/>
      <c r="H24" s="31">
        <f t="shared" si="2"/>
        <v>0</v>
      </c>
      <c r="I24" s="30"/>
      <c r="J24" s="31">
        <f t="shared" si="3"/>
        <v>0</v>
      </c>
      <c r="K24" s="30"/>
      <c r="L24" s="31">
        <f t="shared" si="4"/>
        <v>0</v>
      </c>
      <c r="M24" s="30"/>
      <c r="N24" s="31">
        <f t="shared" si="6"/>
        <v>0</v>
      </c>
      <c r="O24" s="42">
        <f t="shared" si="7"/>
        <v>0</v>
      </c>
      <c r="P24" s="50"/>
      <c r="Q24" s="39"/>
      <c r="R24" s="39"/>
      <c r="S24" s="36">
        <f t="shared" si="8"/>
        <v>0</v>
      </c>
      <c r="T24" s="43">
        <f t="shared" si="9"/>
        <v>0</v>
      </c>
      <c r="U24" s="67">
        <f t="shared" si="10"/>
        <v>0</v>
      </c>
      <c r="V24" s="45"/>
      <c r="W24" s="83" cm="1">
        <f t="array" ref="W24">TRANSPOSE('ASISTENCIA B'!AI21)</f>
        <v>0</v>
      </c>
      <c r="X24" s="33"/>
    </row>
    <row r="25" spans="1:24" s="12" customFormat="1" ht="55.5" customHeight="1" thickBot="1" x14ac:dyDescent="0.35">
      <c r="A25" s="66">
        <f t="shared" si="5"/>
        <v>14</v>
      </c>
      <c r="B25" s="79" t="s">
        <v>93</v>
      </c>
      <c r="C25" s="30"/>
      <c r="D25" s="31">
        <f t="shared" si="0"/>
        <v>0</v>
      </c>
      <c r="E25" s="30"/>
      <c r="F25" s="31">
        <f t="shared" si="1"/>
        <v>0</v>
      </c>
      <c r="G25" s="30"/>
      <c r="H25" s="31">
        <f t="shared" si="2"/>
        <v>0</v>
      </c>
      <c r="I25" s="30"/>
      <c r="J25" s="31">
        <f t="shared" si="3"/>
        <v>0</v>
      </c>
      <c r="K25" s="30"/>
      <c r="L25" s="31">
        <f t="shared" si="4"/>
        <v>0</v>
      </c>
      <c r="M25" s="30"/>
      <c r="N25" s="31">
        <f t="shared" si="6"/>
        <v>0</v>
      </c>
      <c r="O25" s="42">
        <f t="shared" si="7"/>
        <v>0</v>
      </c>
      <c r="P25" s="50"/>
      <c r="Q25" s="39"/>
      <c r="R25" s="39"/>
      <c r="S25" s="36">
        <f t="shared" si="8"/>
        <v>0</v>
      </c>
      <c r="T25" s="43">
        <f t="shared" si="9"/>
        <v>0</v>
      </c>
      <c r="U25" s="67">
        <f t="shared" si="10"/>
        <v>0</v>
      </c>
      <c r="V25" s="45"/>
      <c r="W25" s="83" cm="1">
        <f t="array" ref="W25">TRANSPOSE('ASISTENCIA B'!AI22)</f>
        <v>0</v>
      </c>
      <c r="X25" s="33"/>
    </row>
    <row r="26" spans="1:24" s="12" customFormat="1" ht="55.5" customHeight="1" thickBot="1" x14ac:dyDescent="0.35">
      <c r="A26" s="66">
        <f t="shared" si="5"/>
        <v>15</v>
      </c>
      <c r="B26" s="79" t="s">
        <v>94</v>
      </c>
      <c r="C26" s="30"/>
      <c r="D26" s="31">
        <f t="shared" si="0"/>
        <v>0</v>
      </c>
      <c r="E26" s="30"/>
      <c r="F26" s="31">
        <f t="shared" si="1"/>
        <v>0</v>
      </c>
      <c r="G26" s="30"/>
      <c r="H26" s="31">
        <f t="shared" si="2"/>
        <v>0</v>
      </c>
      <c r="I26" s="30"/>
      <c r="J26" s="31">
        <f t="shared" si="3"/>
        <v>0</v>
      </c>
      <c r="K26" s="30"/>
      <c r="L26" s="31">
        <f t="shared" si="4"/>
        <v>0</v>
      </c>
      <c r="M26" s="30"/>
      <c r="N26" s="31">
        <f t="shared" si="6"/>
        <v>0</v>
      </c>
      <c r="O26" s="42">
        <f t="shared" si="7"/>
        <v>0</v>
      </c>
      <c r="P26" s="50"/>
      <c r="Q26" s="39"/>
      <c r="R26" s="39"/>
      <c r="S26" s="36">
        <f t="shared" si="8"/>
        <v>0</v>
      </c>
      <c r="T26" s="43">
        <f t="shared" si="9"/>
        <v>0</v>
      </c>
      <c r="U26" s="67">
        <f t="shared" si="10"/>
        <v>0</v>
      </c>
      <c r="V26" s="45"/>
      <c r="W26" s="83" cm="1">
        <f t="array" ref="W26">TRANSPOSE('ASISTENCIA B'!AI23)</f>
        <v>0</v>
      </c>
      <c r="X26" s="33"/>
    </row>
    <row r="27" spans="1:24" s="12" customFormat="1" ht="55.5" customHeight="1" thickBot="1" x14ac:dyDescent="0.35">
      <c r="A27" s="66">
        <f t="shared" si="5"/>
        <v>16</v>
      </c>
      <c r="B27" s="79" t="s">
        <v>95</v>
      </c>
      <c r="C27" s="30"/>
      <c r="D27" s="31">
        <f t="shared" si="0"/>
        <v>0</v>
      </c>
      <c r="E27" s="30"/>
      <c r="F27" s="31">
        <f t="shared" si="1"/>
        <v>0</v>
      </c>
      <c r="G27" s="30"/>
      <c r="H27" s="31">
        <f t="shared" si="2"/>
        <v>0</v>
      </c>
      <c r="I27" s="30"/>
      <c r="J27" s="31">
        <f t="shared" si="3"/>
        <v>0</v>
      </c>
      <c r="K27" s="30"/>
      <c r="L27" s="31">
        <f t="shared" si="4"/>
        <v>0</v>
      </c>
      <c r="M27" s="30"/>
      <c r="N27" s="31">
        <f t="shared" si="6"/>
        <v>0</v>
      </c>
      <c r="O27" s="42">
        <f t="shared" si="7"/>
        <v>0</v>
      </c>
      <c r="P27" s="50"/>
      <c r="Q27" s="39"/>
      <c r="R27" s="39"/>
      <c r="S27" s="36">
        <f t="shared" si="8"/>
        <v>0</v>
      </c>
      <c r="T27" s="43">
        <f t="shared" si="9"/>
        <v>0</v>
      </c>
      <c r="U27" s="67">
        <f t="shared" si="10"/>
        <v>0</v>
      </c>
      <c r="V27" s="45"/>
      <c r="W27" s="83" cm="1">
        <f t="array" ref="W27">TRANSPOSE('ASISTENCIA B'!AI24)</f>
        <v>0</v>
      </c>
      <c r="X27" s="33"/>
    </row>
    <row r="28" spans="1:24" s="12" customFormat="1" ht="55.5" customHeight="1" thickBot="1" x14ac:dyDescent="0.35">
      <c r="A28" s="66">
        <f t="shared" si="5"/>
        <v>17</v>
      </c>
      <c r="B28" s="79" t="s">
        <v>96</v>
      </c>
      <c r="C28" s="30"/>
      <c r="D28" s="31">
        <f t="shared" si="0"/>
        <v>0</v>
      </c>
      <c r="E28" s="30"/>
      <c r="F28" s="31">
        <f t="shared" si="1"/>
        <v>0</v>
      </c>
      <c r="G28" s="30"/>
      <c r="H28" s="31">
        <f t="shared" si="2"/>
        <v>0</v>
      </c>
      <c r="I28" s="30"/>
      <c r="J28" s="31">
        <f t="shared" si="3"/>
        <v>0</v>
      </c>
      <c r="K28" s="30"/>
      <c r="L28" s="31">
        <f t="shared" si="4"/>
        <v>0</v>
      </c>
      <c r="M28" s="30"/>
      <c r="N28" s="31">
        <f t="shared" si="6"/>
        <v>0</v>
      </c>
      <c r="O28" s="42">
        <f t="shared" si="7"/>
        <v>0</v>
      </c>
      <c r="P28" s="50"/>
      <c r="Q28" s="39"/>
      <c r="R28" s="39"/>
      <c r="S28" s="36">
        <f t="shared" si="8"/>
        <v>0</v>
      </c>
      <c r="T28" s="43">
        <f t="shared" si="9"/>
        <v>0</v>
      </c>
      <c r="U28" s="67">
        <f t="shared" si="10"/>
        <v>0</v>
      </c>
      <c r="V28" s="45"/>
      <c r="W28" s="83" cm="1">
        <f t="array" ref="W28">TRANSPOSE('ASISTENCIA B'!AI25)</f>
        <v>0</v>
      </c>
      <c r="X28" s="33"/>
    </row>
    <row r="29" spans="1:24" s="12" customFormat="1" ht="55.5" customHeight="1" thickBot="1" x14ac:dyDescent="0.35">
      <c r="A29" s="66">
        <f t="shared" si="5"/>
        <v>18</v>
      </c>
      <c r="B29" s="79" t="s">
        <v>97</v>
      </c>
      <c r="C29" s="30"/>
      <c r="D29" s="31">
        <f t="shared" si="0"/>
        <v>0</v>
      </c>
      <c r="E29" s="30"/>
      <c r="F29" s="31">
        <f t="shared" si="1"/>
        <v>0</v>
      </c>
      <c r="G29" s="30"/>
      <c r="H29" s="31">
        <f t="shared" si="2"/>
        <v>0</v>
      </c>
      <c r="I29" s="30"/>
      <c r="J29" s="31">
        <f t="shared" si="3"/>
        <v>0</v>
      </c>
      <c r="K29" s="30"/>
      <c r="L29" s="31">
        <f t="shared" si="4"/>
        <v>0</v>
      </c>
      <c r="M29" s="30"/>
      <c r="N29" s="31">
        <f t="shared" si="6"/>
        <v>0</v>
      </c>
      <c r="O29" s="42">
        <f t="shared" si="7"/>
        <v>0</v>
      </c>
      <c r="P29" s="50"/>
      <c r="Q29" s="39"/>
      <c r="R29" s="39"/>
      <c r="S29" s="36">
        <f t="shared" si="8"/>
        <v>0</v>
      </c>
      <c r="T29" s="43">
        <f t="shared" si="9"/>
        <v>0</v>
      </c>
      <c r="U29" s="67">
        <f t="shared" si="10"/>
        <v>0</v>
      </c>
      <c r="V29" s="45"/>
      <c r="W29" s="83" cm="1">
        <f t="array" ref="W29">TRANSPOSE('ASISTENCIA B'!AI26)</f>
        <v>0</v>
      </c>
      <c r="X29" s="33"/>
    </row>
    <row r="30" spans="1:24" s="12" customFormat="1" ht="55.5" customHeight="1" thickBot="1" x14ac:dyDescent="0.35">
      <c r="A30" s="66">
        <f t="shared" si="5"/>
        <v>19</v>
      </c>
      <c r="B30" s="79" t="s">
        <v>98</v>
      </c>
      <c r="C30" s="30"/>
      <c r="D30" s="31">
        <f t="shared" si="0"/>
        <v>0</v>
      </c>
      <c r="E30" s="30"/>
      <c r="F30" s="31">
        <f t="shared" si="1"/>
        <v>0</v>
      </c>
      <c r="G30" s="30"/>
      <c r="H30" s="31">
        <f t="shared" si="2"/>
        <v>0</v>
      </c>
      <c r="I30" s="30"/>
      <c r="J30" s="31">
        <f t="shared" si="3"/>
        <v>0</v>
      </c>
      <c r="K30" s="30"/>
      <c r="L30" s="31">
        <f t="shared" si="4"/>
        <v>0</v>
      </c>
      <c r="M30" s="30"/>
      <c r="N30" s="31">
        <f t="shared" si="6"/>
        <v>0</v>
      </c>
      <c r="O30" s="42">
        <f t="shared" si="7"/>
        <v>0</v>
      </c>
      <c r="P30" s="50"/>
      <c r="Q30" s="39"/>
      <c r="R30" s="39"/>
      <c r="S30" s="36">
        <f t="shared" si="8"/>
        <v>0</v>
      </c>
      <c r="T30" s="43">
        <f t="shared" si="9"/>
        <v>0</v>
      </c>
      <c r="U30" s="67">
        <f t="shared" si="10"/>
        <v>0</v>
      </c>
      <c r="V30" s="45"/>
      <c r="W30" s="83" cm="1">
        <f t="array" ref="W30">TRANSPOSE('ASISTENCIA B'!AI27)</f>
        <v>0</v>
      </c>
      <c r="X30" s="33"/>
    </row>
    <row r="31" spans="1:24" s="12" customFormat="1" ht="55.5" customHeight="1" thickBot="1" x14ac:dyDescent="0.35">
      <c r="A31" s="66">
        <f t="shared" si="5"/>
        <v>20</v>
      </c>
      <c r="B31" s="79" t="s">
        <v>99</v>
      </c>
      <c r="C31" s="30"/>
      <c r="D31" s="31">
        <f t="shared" si="0"/>
        <v>0</v>
      </c>
      <c r="E31" s="30"/>
      <c r="F31" s="31">
        <f t="shared" si="1"/>
        <v>0</v>
      </c>
      <c r="G31" s="30"/>
      <c r="H31" s="31">
        <f t="shared" si="2"/>
        <v>0</v>
      </c>
      <c r="I31" s="30"/>
      <c r="J31" s="31">
        <f t="shared" si="3"/>
        <v>0</v>
      </c>
      <c r="K31" s="30"/>
      <c r="L31" s="31">
        <f t="shared" si="4"/>
        <v>0</v>
      </c>
      <c r="M31" s="30"/>
      <c r="N31" s="31">
        <f t="shared" si="6"/>
        <v>0</v>
      </c>
      <c r="O31" s="42">
        <f t="shared" si="7"/>
        <v>0</v>
      </c>
      <c r="P31" s="50"/>
      <c r="Q31" s="39"/>
      <c r="R31" s="39"/>
      <c r="S31" s="36">
        <f t="shared" si="8"/>
        <v>0</v>
      </c>
      <c r="T31" s="43">
        <f t="shared" si="9"/>
        <v>0</v>
      </c>
      <c r="U31" s="67">
        <f t="shared" si="10"/>
        <v>0</v>
      </c>
      <c r="V31" s="45"/>
      <c r="W31" s="83" cm="1">
        <f t="array" ref="W31">TRANSPOSE('ASISTENCIA B'!AI28)</f>
        <v>0</v>
      </c>
      <c r="X31" s="33"/>
    </row>
    <row r="32" spans="1:24" s="12" customFormat="1" ht="55.5" customHeight="1" thickBot="1" x14ac:dyDescent="0.35">
      <c r="A32" s="66">
        <f t="shared" si="5"/>
        <v>21</v>
      </c>
      <c r="B32" s="79" t="s">
        <v>100</v>
      </c>
      <c r="C32" s="30"/>
      <c r="D32" s="31">
        <f t="shared" si="0"/>
        <v>0</v>
      </c>
      <c r="E32" s="30"/>
      <c r="F32" s="31">
        <f t="shared" si="1"/>
        <v>0</v>
      </c>
      <c r="G32" s="30"/>
      <c r="H32" s="31">
        <f t="shared" si="2"/>
        <v>0</v>
      </c>
      <c r="I32" s="30"/>
      <c r="J32" s="31">
        <f t="shared" si="3"/>
        <v>0</v>
      </c>
      <c r="K32" s="30"/>
      <c r="L32" s="31">
        <f t="shared" si="4"/>
        <v>0</v>
      </c>
      <c r="M32" s="30"/>
      <c r="N32" s="31">
        <f t="shared" si="6"/>
        <v>0</v>
      </c>
      <c r="O32" s="42">
        <f t="shared" si="7"/>
        <v>0</v>
      </c>
      <c r="P32" s="50"/>
      <c r="Q32" s="39"/>
      <c r="R32" s="39"/>
      <c r="S32" s="36">
        <f t="shared" si="8"/>
        <v>0</v>
      </c>
      <c r="T32" s="43">
        <f t="shared" si="9"/>
        <v>0</v>
      </c>
      <c r="U32" s="67">
        <f t="shared" si="10"/>
        <v>0</v>
      </c>
      <c r="V32" s="45"/>
      <c r="W32" s="83" cm="1">
        <f t="array" ref="W32">TRANSPOSE('ASISTENCIA B'!AI29)</f>
        <v>0</v>
      </c>
      <c r="X32" s="33"/>
    </row>
    <row r="33" spans="1:24" s="12" customFormat="1" ht="55.5" customHeight="1" thickBot="1" x14ac:dyDescent="0.35">
      <c r="A33" s="66">
        <f t="shared" si="5"/>
        <v>22</v>
      </c>
      <c r="B33" s="79" t="s">
        <v>101</v>
      </c>
      <c r="C33" s="30"/>
      <c r="D33" s="31">
        <f t="shared" si="0"/>
        <v>0</v>
      </c>
      <c r="E33" s="30"/>
      <c r="F33" s="31">
        <f t="shared" si="1"/>
        <v>0</v>
      </c>
      <c r="G33" s="30"/>
      <c r="H33" s="31">
        <f t="shared" si="2"/>
        <v>0</v>
      </c>
      <c r="I33" s="30"/>
      <c r="J33" s="31">
        <f t="shared" si="3"/>
        <v>0</v>
      </c>
      <c r="K33" s="30"/>
      <c r="L33" s="31">
        <f t="shared" si="4"/>
        <v>0</v>
      </c>
      <c r="M33" s="30"/>
      <c r="N33" s="31">
        <f t="shared" si="6"/>
        <v>0</v>
      </c>
      <c r="O33" s="42">
        <f t="shared" si="7"/>
        <v>0</v>
      </c>
      <c r="P33" s="50"/>
      <c r="Q33" s="39"/>
      <c r="R33" s="39"/>
      <c r="S33" s="36">
        <f t="shared" si="8"/>
        <v>0</v>
      </c>
      <c r="T33" s="43">
        <f t="shared" si="9"/>
        <v>0</v>
      </c>
      <c r="U33" s="67">
        <f t="shared" si="10"/>
        <v>0</v>
      </c>
      <c r="V33" s="45"/>
      <c r="W33" s="83" cm="1">
        <f t="array" ref="W33">TRANSPOSE('ASISTENCIA B'!AI30)</f>
        <v>0</v>
      </c>
      <c r="X33" s="33"/>
    </row>
    <row r="34" spans="1:24" s="12" customFormat="1" ht="55.5" customHeight="1" thickBot="1" x14ac:dyDescent="0.35">
      <c r="A34" s="66">
        <f t="shared" si="5"/>
        <v>23</v>
      </c>
      <c r="B34" s="79" t="s">
        <v>102</v>
      </c>
      <c r="C34" s="30"/>
      <c r="D34" s="31">
        <f t="shared" si="0"/>
        <v>0</v>
      </c>
      <c r="E34" s="30"/>
      <c r="F34" s="31">
        <f t="shared" si="1"/>
        <v>0</v>
      </c>
      <c r="G34" s="30"/>
      <c r="H34" s="31">
        <f t="shared" si="2"/>
        <v>0</v>
      </c>
      <c r="I34" s="30"/>
      <c r="J34" s="31">
        <f t="shared" si="3"/>
        <v>0</v>
      </c>
      <c r="K34" s="30"/>
      <c r="L34" s="31">
        <f t="shared" si="4"/>
        <v>0</v>
      </c>
      <c r="M34" s="30"/>
      <c r="N34" s="31">
        <f t="shared" si="6"/>
        <v>0</v>
      </c>
      <c r="O34" s="42">
        <f t="shared" si="7"/>
        <v>0</v>
      </c>
      <c r="P34" s="50"/>
      <c r="Q34" s="39"/>
      <c r="R34" s="39"/>
      <c r="S34" s="36">
        <f t="shared" si="8"/>
        <v>0</v>
      </c>
      <c r="T34" s="43">
        <f t="shared" si="9"/>
        <v>0</v>
      </c>
      <c r="U34" s="67">
        <f t="shared" si="10"/>
        <v>0</v>
      </c>
      <c r="V34" s="45"/>
      <c r="W34" s="83" cm="1">
        <f t="array" ref="W34">TRANSPOSE('ASISTENCIA B'!AI31)</f>
        <v>0</v>
      </c>
      <c r="X34" s="33"/>
    </row>
    <row r="35" spans="1:24" s="12" customFormat="1" ht="55.5" customHeight="1" thickBot="1" x14ac:dyDescent="0.35">
      <c r="A35" s="66">
        <f t="shared" si="5"/>
        <v>24</v>
      </c>
      <c r="B35" s="79" t="s">
        <v>103</v>
      </c>
      <c r="C35" s="30"/>
      <c r="D35" s="31">
        <f t="shared" si="0"/>
        <v>0</v>
      </c>
      <c r="E35" s="30"/>
      <c r="F35" s="31">
        <f t="shared" si="1"/>
        <v>0</v>
      </c>
      <c r="G35" s="30"/>
      <c r="H35" s="31">
        <f t="shared" si="2"/>
        <v>0</v>
      </c>
      <c r="I35" s="30"/>
      <c r="J35" s="31">
        <f t="shared" si="3"/>
        <v>0</v>
      </c>
      <c r="K35" s="30"/>
      <c r="L35" s="31">
        <f t="shared" si="4"/>
        <v>0</v>
      </c>
      <c r="M35" s="30"/>
      <c r="N35" s="31">
        <f t="shared" si="6"/>
        <v>0</v>
      </c>
      <c r="O35" s="42">
        <f t="shared" si="7"/>
        <v>0</v>
      </c>
      <c r="P35" s="50"/>
      <c r="Q35" s="39"/>
      <c r="R35" s="39"/>
      <c r="S35" s="36">
        <f t="shared" si="8"/>
        <v>0</v>
      </c>
      <c r="T35" s="43">
        <f t="shared" si="9"/>
        <v>0</v>
      </c>
      <c r="U35" s="67">
        <f t="shared" si="10"/>
        <v>0</v>
      </c>
      <c r="V35" s="45"/>
      <c r="W35" s="83" cm="1">
        <f t="array" ref="W35">TRANSPOSE('ASISTENCIA B'!AI32)</f>
        <v>0</v>
      </c>
      <c r="X35" s="33"/>
    </row>
    <row r="36" spans="1:24" s="12" customFormat="1" ht="55.5" customHeight="1" thickBot="1" x14ac:dyDescent="0.35">
      <c r="A36" s="66">
        <f t="shared" si="5"/>
        <v>25</v>
      </c>
      <c r="B36" s="79" t="s">
        <v>104</v>
      </c>
      <c r="C36" s="30"/>
      <c r="D36" s="31">
        <f t="shared" si="0"/>
        <v>0</v>
      </c>
      <c r="E36" s="30"/>
      <c r="F36" s="31">
        <f t="shared" si="1"/>
        <v>0</v>
      </c>
      <c r="G36" s="30"/>
      <c r="H36" s="31">
        <f t="shared" si="2"/>
        <v>0</v>
      </c>
      <c r="I36" s="30"/>
      <c r="J36" s="31">
        <f t="shared" si="3"/>
        <v>0</v>
      </c>
      <c r="K36" s="30"/>
      <c r="L36" s="31">
        <f t="shared" si="4"/>
        <v>0</v>
      </c>
      <c r="M36" s="30"/>
      <c r="N36" s="31">
        <f t="shared" si="6"/>
        <v>0</v>
      </c>
      <c r="O36" s="42">
        <f t="shared" si="7"/>
        <v>0</v>
      </c>
      <c r="P36" s="50"/>
      <c r="Q36" s="39"/>
      <c r="R36" s="39"/>
      <c r="S36" s="36">
        <f t="shared" si="8"/>
        <v>0</v>
      </c>
      <c r="T36" s="43">
        <f t="shared" si="9"/>
        <v>0</v>
      </c>
      <c r="U36" s="67">
        <f t="shared" si="10"/>
        <v>0</v>
      </c>
      <c r="V36" s="45"/>
      <c r="W36" s="83" cm="1">
        <f t="array" ref="W36">TRANSPOSE('ASISTENCIA B'!AI33)</f>
        <v>0</v>
      </c>
      <c r="X36" s="33"/>
    </row>
    <row r="37" spans="1:24" s="12" customFormat="1" ht="55.5" customHeight="1" thickBot="1" x14ac:dyDescent="0.35">
      <c r="A37" s="66">
        <f t="shared" si="5"/>
        <v>26</v>
      </c>
      <c r="B37" s="79" t="s">
        <v>105</v>
      </c>
      <c r="C37" s="30"/>
      <c r="D37" s="31">
        <f t="shared" si="0"/>
        <v>0</v>
      </c>
      <c r="E37" s="30"/>
      <c r="F37" s="31">
        <f t="shared" si="1"/>
        <v>0</v>
      </c>
      <c r="G37" s="30"/>
      <c r="H37" s="31">
        <f t="shared" si="2"/>
        <v>0</v>
      </c>
      <c r="I37" s="30"/>
      <c r="J37" s="31">
        <f t="shared" si="3"/>
        <v>0</v>
      </c>
      <c r="K37" s="30"/>
      <c r="L37" s="31">
        <f t="shared" si="4"/>
        <v>0</v>
      </c>
      <c r="M37" s="30"/>
      <c r="N37" s="31">
        <f t="shared" si="6"/>
        <v>0</v>
      </c>
      <c r="O37" s="42">
        <f t="shared" si="7"/>
        <v>0</v>
      </c>
      <c r="P37" s="50"/>
      <c r="Q37" s="39"/>
      <c r="R37" s="39"/>
      <c r="S37" s="36">
        <f t="shared" si="8"/>
        <v>0</v>
      </c>
      <c r="T37" s="43">
        <f t="shared" si="9"/>
        <v>0</v>
      </c>
      <c r="U37" s="67">
        <f t="shared" si="10"/>
        <v>0</v>
      </c>
      <c r="V37" s="45"/>
      <c r="W37" s="83" cm="1">
        <f t="array" ref="W37">TRANSPOSE('ASISTENCIA B'!AI34)</f>
        <v>0</v>
      </c>
      <c r="X37" s="33"/>
    </row>
    <row r="38" spans="1:24" s="12" customFormat="1" ht="55.5" customHeight="1" thickBot="1" x14ac:dyDescent="0.35">
      <c r="A38" s="66">
        <f t="shared" si="5"/>
        <v>27</v>
      </c>
      <c r="B38" s="79" t="s">
        <v>106</v>
      </c>
      <c r="C38" s="30"/>
      <c r="D38" s="31">
        <f t="shared" si="0"/>
        <v>0</v>
      </c>
      <c r="E38" s="30"/>
      <c r="F38" s="31">
        <f t="shared" si="1"/>
        <v>0</v>
      </c>
      <c r="G38" s="30"/>
      <c r="H38" s="31">
        <f t="shared" si="2"/>
        <v>0</v>
      </c>
      <c r="I38" s="30"/>
      <c r="J38" s="31">
        <f t="shared" si="3"/>
        <v>0</v>
      </c>
      <c r="K38" s="30"/>
      <c r="L38" s="31">
        <f t="shared" si="4"/>
        <v>0</v>
      </c>
      <c r="M38" s="30"/>
      <c r="N38" s="31">
        <f t="shared" si="6"/>
        <v>0</v>
      </c>
      <c r="O38" s="42">
        <f t="shared" si="7"/>
        <v>0</v>
      </c>
      <c r="P38" s="50"/>
      <c r="Q38" s="39"/>
      <c r="R38" s="39"/>
      <c r="S38" s="36">
        <f t="shared" si="8"/>
        <v>0</v>
      </c>
      <c r="T38" s="43">
        <f t="shared" si="9"/>
        <v>0</v>
      </c>
      <c r="U38" s="67">
        <f t="shared" si="10"/>
        <v>0</v>
      </c>
      <c r="V38" s="45"/>
      <c r="W38" s="83" cm="1">
        <f t="array" ref="W38">TRANSPOSE('ASISTENCIA B'!AI35)</f>
        <v>0</v>
      </c>
      <c r="X38" s="33"/>
    </row>
    <row r="39" spans="1:24" s="12" customFormat="1" ht="55.5" customHeight="1" thickBot="1" x14ac:dyDescent="0.35">
      <c r="A39" s="66">
        <f t="shared" si="5"/>
        <v>28</v>
      </c>
      <c r="B39" s="79" t="s">
        <v>107</v>
      </c>
      <c r="C39" s="30"/>
      <c r="D39" s="31">
        <f t="shared" si="0"/>
        <v>0</v>
      </c>
      <c r="E39" s="30"/>
      <c r="F39" s="31">
        <f t="shared" si="1"/>
        <v>0</v>
      </c>
      <c r="G39" s="30"/>
      <c r="H39" s="31">
        <f t="shared" si="2"/>
        <v>0</v>
      </c>
      <c r="I39" s="30"/>
      <c r="J39" s="31">
        <f t="shared" si="3"/>
        <v>0</v>
      </c>
      <c r="K39" s="30"/>
      <c r="L39" s="31">
        <f t="shared" si="4"/>
        <v>0</v>
      </c>
      <c r="M39" s="30"/>
      <c r="N39" s="31">
        <f t="shared" si="6"/>
        <v>0</v>
      </c>
      <c r="O39" s="42">
        <f t="shared" si="7"/>
        <v>0</v>
      </c>
      <c r="P39" s="50"/>
      <c r="Q39" s="39"/>
      <c r="R39" s="39"/>
      <c r="S39" s="36">
        <f t="shared" si="8"/>
        <v>0</v>
      </c>
      <c r="T39" s="43">
        <f t="shared" si="9"/>
        <v>0</v>
      </c>
      <c r="U39" s="67">
        <f t="shared" si="10"/>
        <v>0</v>
      </c>
      <c r="V39" s="45"/>
      <c r="W39" s="83" cm="1">
        <f t="array" ref="W39">TRANSPOSE('ASISTENCIA B'!AI36)</f>
        <v>0</v>
      </c>
      <c r="X39" s="33"/>
    </row>
    <row r="40" spans="1:24" s="12" customFormat="1" ht="55.5" customHeight="1" thickBot="1" x14ac:dyDescent="0.35">
      <c r="A40" s="66">
        <f t="shared" si="5"/>
        <v>29</v>
      </c>
      <c r="B40" s="79" t="s">
        <v>108</v>
      </c>
      <c r="C40" s="30"/>
      <c r="D40" s="31">
        <f t="shared" si="0"/>
        <v>0</v>
      </c>
      <c r="E40" s="30"/>
      <c r="F40" s="31">
        <f t="shared" si="1"/>
        <v>0</v>
      </c>
      <c r="G40" s="30"/>
      <c r="H40" s="31">
        <f t="shared" si="2"/>
        <v>0</v>
      </c>
      <c r="I40" s="30"/>
      <c r="J40" s="31">
        <f t="shared" si="3"/>
        <v>0</v>
      </c>
      <c r="K40" s="30"/>
      <c r="L40" s="31">
        <f t="shared" si="4"/>
        <v>0</v>
      </c>
      <c r="M40" s="30"/>
      <c r="N40" s="31">
        <f t="shared" si="6"/>
        <v>0</v>
      </c>
      <c r="O40" s="42">
        <f t="shared" si="7"/>
        <v>0</v>
      </c>
      <c r="P40" s="50"/>
      <c r="Q40" s="39"/>
      <c r="R40" s="39"/>
      <c r="S40" s="36">
        <f t="shared" si="8"/>
        <v>0</v>
      </c>
      <c r="T40" s="43">
        <f t="shared" si="9"/>
        <v>0</v>
      </c>
      <c r="U40" s="67">
        <f t="shared" si="10"/>
        <v>0</v>
      </c>
      <c r="V40" s="45"/>
      <c r="W40" s="83" cm="1">
        <f t="array" ref="W40">TRANSPOSE('ASISTENCIA B'!AI37)</f>
        <v>0</v>
      </c>
      <c r="X40" s="33"/>
    </row>
    <row r="41" spans="1:24" s="12" customFormat="1" ht="55.5" customHeight="1" thickBot="1" x14ac:dyDescent="0.35">
      <c r="A41" s="66">
        <f t="shared" si="5"/>
        <v>30</v>
      </c>
      <c r="B41" s="79" t="s">
        <v>109</v>
      </c>
      <c r="C41" s="30"/>
      <c r="D41" s="31">
        <f t="shared" si="0"/>
        <v>0</v>
      </c>
      <c r="E41" s="30"/>
      <c r="F41" s="31">
        <f t="shared" si="1"/>
        <v>0</v>
      </c>
      <c r="G41" s="30"/>
      <c r="H41" s="31">
        <f t="shared" si="2"/>
        <v>0</v>
      </c>
      <c r="I41" s="30"/>
      <c r="J41" s="31">
        <f t="shared" si="3"/>
        <v>0</v>
      </c>
      <c r="K41" s="30"/>
      <c r="L41" s="31">
        <f t="shared" si="4"/>
        <v>0</v>
      </c>
      <c r="M41" s="30"/>
      <c r="N41" s="31">
        <f t="shared" si="6"/>
        <v>0</v>
      </c>
      <c r="O41" s="42">
        <f t="shared" si="7"/>
        <v>0</v>
      </c>
      <c r="P41" s="50"/>
      <c r="Q41" s="39"/>
      <c r="R41" s="39"/>
      <c r="S41" s="36">
        <f t="shared" si="8"/>
        <v>0</v>
      </c>
      <c r="T41" s="43">
        <f t="shared" si="9"/>
        <v>0</v>
      </c>
      <c r="U41" s="67">
        <f t="shared" si="10"/>
        <v>0</v>
      </c>
      <c r="V41" s="45"/>
      <c r="W41" s="83" cm="1">
        <f t="array" ref="W41">TRANSPOSE('ASISTENCIA B'!AI38)</f>
        <v>0</v>
      </c>
      <c r="X41" s="33"/>
    </row>
    <row r="42" spans="1:24" s="12" customFormat="1" ht="55.5" customHeight="1" thickBot="1" x14ac:dyDescent="0.35">
      <c r="A42" s="66">
        <f t="shared" si="5"/>
        <v>31</v>
      </c>
      <c r="B42" s="79" t="s">
        <v>110</v>
      </c>
      <c r="C42" s="30"/>
      <c r="D42" s="31">
        <f t="shared" si="0"/>
        <v>0</v>
      </c>
      <c r="E42" s="30"/>
      <c r="F42" s="31">
        <f t="shared" si="1"/>
        <v>0</v>
      </c>
      <c r="G42" s="30"/>
      <c r="H42" s="31">
        <f t="shared" si="2"/>
        <v>0</v>
      </c>
      <c r="I42" s="30"/>
      <c r="J42" s="31">
        <f t="shared" si="3"/>
        <v>0</v>
      </c>
      <c r="K42" s="30"/>
      <c r="L42" s="31">
        <f t="shared" si="4"/>
        <v>0</v>
      </c>
      <c r="M42" s="30"/>
      <c r="N42" s="31">
        <f t="shared" si="6"/>
        <v>0</v>
      </c>
      <c r="O42" s="42">
        <f t="shared" si="7"/>
        <v>0</v>
      </c>
      <c r="P42" s="50"/>
      <c r="Q42" s="39"/>
      <c r="R42" s="39"/>
      <c r="S42" s="36">
        <f t="shared" si="8"/>
        <v>0</v>
      </c>
      <c r="T42" s="43">
        <f t="shared" si="9"/>
        <v>0</v>
      </c>
      <c r="U42" s="67">
        <f t="shared" si="10"/>
        <v>0</v>
      </c>
      <c r="V42" s="45"/>
      <c r="W42" s="83" cm="1">
        <f t="array" ref="W42">TRANSPOSE('ASISTENCIA B'!AI39)</f>
        <v>0</v>
      </c>
      <c r="X42" s="33"/>
    </row>
    <row r="43" spans="1:24" s="12" customFormat="1" ht="55.5" customHeight="1" thickBot="1" x14ac:dyDescent="0.35">
      <c r="A43" s="66">
        <f t="shared" si="5"/>
        <v>32</v>
      </c>
      <c r="B43" s="79" t="s">
        <v>111</v>
      </c>
      <c r="C43" s="30"/>
      <c r="D43" s="31">
        <f t="shared" si="0"/>
        <v>0</v>
      </c>
      <c r="E43" s="30"/>
      <c r="F43" s="31">
        <f t="shared" si="1"/>
        <v>0</v>
      </c>
      <c r="G43" s="30"/>
      <c r="H43" s="31">
        <f t="shared" si="2"/>
        <v>0</v>
      </c>
      <c r="I43" s="30"/>
      <c r="J43" s="31">
        <f t="shared" si="3"/>
        <v>0</v>
      </c>
      <c r="K43" s="30"/>
      <c r="L43" s="31">
        <f t="shared" si="4"/>
        <v>0</v>
      </c>
      <c r="M43" s="30"/>
      <c r="N43" s="31">
        <f t="shared" si="6"/>
        <v>0</v>
      </c>
      <c r="O43" s="42">
        <f t="shared" si="7"/>
        <v>0</v>
      </c>
      <c r="P43" s="50"/>
      <c r="Q43" s="39"/>
      <c r="R43" s="39"/>
      <c r="S43" s="36">
        <f t="shared" si="8"/>
        <v>0</v>
      </c>
      <c r="T43" s="43">
        <f t="shared" si="9"/>
        <v>0</v>
      </c>
      <c r="U43" s="67">
        <f t="shared" si="10"/>
        <v>0</v>
      </c>
      <c r="V43" s="45"/>
      <c r="W43" s="83" cm="1">
        <f t="array" ref="W43">TRANSPOSE('ASISTENCIA B'!AI40)</f>
        <v>0</v>
      </c>
      <c r="X43" s="33"/>
    </row>
    <row r="44" spans="1:24" s="12" customFormat="1" ht="55.5" customHeight="1" thickBot="1" x14ac:dyDescent="0.35">
      <c r="A44" s="66">
        <f t="shared" si="5"/>
        <v>33</v>
      </c>
      <c r="B44" s="79" t="s">
        <v>112</v>
      </c>
      <c r="C44" s="30"/>
      <c r="D44" s="31">
        <f t="shared" si="0"/>
        <v>0</v>
      </c>
      <c r="E44" s="30"/>
      <c r="F44" s="31">
        <f t="shared" si="1"/>
        <v>0</v>
      </c>
      <c r="G44" s="30"/>
      <c r="H44" s="31">
        <f t="shared" si="2"/>
        <v>0</v>
      </c>
      <c r="I44" s="30"/>
      <c r="J44" s="31">
        <f t="shared" si="3"/>
        <v>0</v>
      </c>
      <c r="K44" s="30"/>
      <c r="L44" s="31">
        <f t="shared" si="4"/>
        <v>0</v>
      </c>
      <c r="M44" s="30"/>
      <c r="N44" s="31">
        <f t="shared" si="6"/>
        <v>0</v>
      </c>
      <c r="O44" s="42">
        <f t="shared" si="7"/>
        <v>0</v>
      </c>
      <c r="P44" s="50"/>
      <c r="Q44" s="35"/>
      <c r="R44" s="39"/>
      <c r="S44" s="36">
        <f t="shared" si="8"/>
        <v>0</v>
      </c>
      <c r="T44" s="43">
        <f t="shared" si="9"/>
        <v>0</v>
      </c>
      <c r="U44" s="67">
        <f t="shared" si="10"/>
        <v>0</v>
      </c>
      <c r="V44" s="45"/>
      <c r="W44" s="83" cm="1">
        <f t="array" ref="W44">TRANSPOSE('ASISTENCIA B'!AI41)</f>
        <v>0</v>
      </c>
      <c r="X44" s="33"/>
    </row>
    <row r="45" spans="1:24" s="12" customFormat="1" ht="55.5" customHeight="1" thickBot="1" x14ac:dyDescent="0.35">
      <c r="A45" s="66">
        <f t="shared" si="5"/>
        <v>34</v>
      </c>
      <c r="B45" s="79" t="s">
        <v>113</v>
      </c>
      <c r="C45" s="30"/>
      <c r="D45" s="31">
        <f t="shared" si="0"/>
        <v>0</v>
      </c>
      <c r="E45" s="30"/>
      <c r="F45" s="31">
        <f t="shared" si="1"/>
        <v>0</v>
      </c>
      <c r="G45" s="30"/>
      <c r="H45" s="31">
        <f t="shared" si="2"/>
        <v>0</v>
      </c>
      <c r="I45" s="30"/>
      <c r="J45" s="31">
        <f t="shared" si="3"/>
        <v>0</v>
      </c>
      <c r="K45" s="30"/>
      <c r="L45" s="31">
        <f t="shared" si="4"/>
        <v>0</v>
      </c>
      <c r="M45" s="32"/>
      <c r="N45" s="31">
        <f t="shared" si="6"/>
        <v>0</v>
      </c>
      <c r="O45" s="42">
        <f t="shared" si="7"/>
        <v>0</v>
      </c>
      <c r="P45" s="50"/>
      <c r="Q45" s="34"/>
      <c r="R45" s="39"/>
      <c r="S45" s="36">
        <f t="shared" si="8"/>
        <v>0</v>
      </c>
      <c r="T45" s="43">
        <f t="shared" si="9"/>
        <v>0</v>
      </c>
      <c r="U45" s="67">
        <f t="shared" si="10"/>
        <v>0</v>
      </c>
      <c r="V45" s="45"/>
      <c r="W45" s="83" cm="1">
        <f t="array" ref="W45">TRANSPOSE('ASISTENCIA B'!AI42)</f>
        <v>0</v>
      </c>
      <c r="X45" s="33"/>
    </row>
    <row r="46" spans="1:24" s="12" customFormat="1" ht="51.75" customHeight="1" thickBot="1" x14ac:dyDescent="0.35">
      <c r="A46" s="66" t="str">
        <f t="shared" si="5"/>
        <v/>
      </c>
      <c r="B46" s="72"/>
      <c r="C46" s="30"/>
      <c r="D46" s="31">
        <f t="shared" si="0"/>
        <v>0</v>
      </c>
      <c r="E46" s="30"/>
      <c r="F46" s="31">
        <f t="shared" si="1"/>
        <v>0</v>
      </c>
      <c r="G46" s="30"/>
      <c r="H46" s="31">
        <f t="shared" si="2"/>
        <v>0</v>
      </c>
      <c r="I46" s="30"/>
      <c r="J46" s="31">
        <f t="shared" si="3"/>
        <v>0</v>
      </c>
      <c r="K46" s="30"/>
      <c r="L46" s="31">
        <f t="shared" si="4"/>
        <v>0</v>
      </c>
      <c r="M46" s="32"/>
      <c r="N46" s="31">
        <f t="shared" si="6"/>
        <v>0</v>
      </c>
      <c r="O46" s="42">
        <f t="shared" si="7"/>
        <v>0</v>
      </c>
      <c r="P46" s="50"/>
      <c r="Q46" s="34"/>
      <c r="R46" s="35"/>
      <c r="S46" s="36">
        <f t="shared" si="8"/>
        <v>0</v>
      </c>
      <c r="T46" s="43">
        <f t="shared" si="9"/>
        <v>0</v>
      </c>
      <c r="U46" s="67">
        <f t="shared" si="10"/>
        <v>0</v>
      </c>
      <c r="V46" s="45"/>
      <c r="W46" s="83" cm="1">
        <f t="array" ref="W46">TRANSPOSE('ASISTENCIA B'!AI43)</f>
        <v>0</v>
      </c>
      <c r="X46" s="33"/>
    </row>
    <row r="47" spans="1:24" s="12" customFormat="1" ht="51.75" customHeight="1" x14ac:dyDescent="0.3">
      <c r="A47" s="66" t="str">
        <f t="shared" si="5"/>
        <v/>
      </c>
      <c r="B47" s="73"/>
      <c r="C47" s="30"/>
      <c r="D47" s="31">
        <f>N(C47)*($D$11)/100</f>
        <v>0</v>
      </c>
      <c r="E47" s="30"/>
      <c r="F47" s="31">
        <f>N(E47)*($F$11)/100</f>
        <v>0</v>
      </c>
      <c r="G47" s="30"/>
      <c r="H47" s="31">
        <f>N(G47)*($H$11)/100</f>
        <v>0</v>
      </c>
      <c r="I47" s="30"/>
      <c r="J47" s="31">
        <f>N(I47)*($J$11)/100</f>
        <v>0</v>
      </c>
      <c r="K47" s="30"/>
      <c r="L47" s="31">
        <f>N(K47)*($L$11)/100</f>
        <v>0</v>
      </c>
      <c r="M47" s="32"/>
      <c r="N47" s="31">
        <f>N(M47)*($N$11)/100</f>
        <v>0</v>
      </c>
      <c r="O47" s="42">
        <f t="shared" si="7"/>
        <v>0</v>
      </c>
      <c r="P47" s="50"/>
      <c r="Q47" s="34"/>
      <c r="R47" s="34"/>
      <c r="S47" s="36">
        <f t="shared" si="8"/>
        <v>0</v>
      </c>
      <c r="T47" s="43">
        <f t="shared" si="9"/>
        <v>0</v>
      </c>
      <c r="U47" s="67">
        <f t="shared" si="10"/>
        <v>0</v>
      </c>
      <c r="V47" s="45"/>
      <c r="W47" s="83" cm="1">
        <f t="array" ref="W47">TRANSPOSE('ASISTENCIA B'!AI44)</f>
        <v>0</v>
      </c>
      <c r="X47" s="33"/>
    </row>
    <row r="48" spans="1:24" ht="23.25" x14ac:dyDescent="0.35">
      <c r="A48" s="28"/>
      <c r="B48" s="65"/>
      <c r="E48" s="30"/>
      <c r="G48" s="30"/>
      <c r="I48" s="29"/>
      <c r="K48" s="30"/>
    </row>
    <row r="49" spans="11:11" ht="23.25" x14ac:dyDescent="0.3">
      <c r="K49" s="30"/>
    </row>
    <row r="50" spans="11:11" ht="23.25" x14ac:dyDescent="0.3">
      <c r="K50" s="30"/>
    </row>
    <row r="51" spans="11:11" ht="23.25" x14ac:dyDescent="0.3">
      <c r="K51" s="30"/>
    </row>
    <row r="52" spans="11:11" ht="23.25" x14ac:dyDescent="0.3">
      <c r="K52" s="30"/>
    </row>
    <row r="53" spans="11:11" ht="23.25" x14ac:dyDescent="0.3">
      <c r="K53" s="30"/>
    </row>
  </sheetData>
  <sheetProtection algorithmName="SHA-512" hashValue="Rv27PflAuK28gYoTyAppexDmEGW6oM1UBSwKvrlJ+lK2jH4il9yVfbSrQy1dXwWX9IJyA9PGPwumVZ548D7eaQ==" saltValue="YJGjnB/n3V2VO0Ab/ahW2w==" spinCount="100000" sheet="1" selectLockedCells="1"/>
  <mergeCells count="28">
    <mergeCell ref="A5:B5"/>
    <mergeCell ref="O6:O11"/>
    <mergeCell ref="A10:B10"/>
    <mergeCell ref="I4:I10"/>
    <mergeCell ref="J4:J10"/>
    <mergeCell ref="K4:K10"/>
    <mergeCell ref="L4:L10"/>
    <mergeCell ref="M4:M10"/>
    <mergeCell ref="N4:N10"/>
    <mergeCell ref="C4:C10"/>
    <mergeCell ref="D4:D10"/>
    <mergeCell ref="E4:E10"/>
    <mergeCell ref="F4:F10"/>
    <mergeCell ref="G4:G10"/>
    <mergeCell ref="H4:H10"/>
    <mergeCell ref="C1:S1"/>
    <mergeCell ref="T1:X1"/>
    <mergeCell ref="C2:O3"/>
    <mergeCell ref="P2:P11"/>
    <mergeCell ref="Q2:S3"/>
    <mergeCell ref="T2:T11"/>
    <mergeCell ref="U2:U11"/>
    <mergeCell ref="V2:V11"/>
    <mergeCell ref="X2:X11"/>
    <mergeCell ref="W3:W11"/>
    <mergeCell ref="Q4:Q11"/>
    <mergeCell ref="R4:R11"/>
    <mergeCell ref="S4:S11"/>
  </mergeCells>
  <conditionalFormatting sqref="A12:X12 A13:V17 W13:X47 A18:J47 L18:V47 K18:K53 E48 G48">
    <cfRule type="expression" dxfId="79" priority="2">
      <formula>$A12&lt;&gt;""</formula>
    </cfRule>
  </conditionalFormatting>
  <conditionalFormatting sqref="C12:C47 E12:E48 G12:G48 I12:I48 K12:K53">
    <cfRule type="containsText" dxfId="78" priority="13" stopIfTrue="1" operator="containsText" text="NP">
      <formula>NOT(ISERROR(SEARCH("NP",C12)))</formula>
    </cfRule>
  </conditionalFormatting>
  <conditionalFormatting sqref="C12:O12 C13:K17 L13:O47 C18:J46 C47:H47 J47 K18:K53 I47:I48 E48 G48">
    <cfRule type="cellIs" dxfId="77" priority="8" operator="lessThan">
      <formula>10</formula>
    </cfRule>
    <cfRule type="cellIs" dxfId="76" priority="9" operator="lessThan">
      <formula>9.4</formula>
    </cfRule>
    <cfRule type="containsText" dxfId="75" priority="10" operator="containsText" text="I">
      <formula>NOT(ISERROR(SEARCH("I",C12)))</formula>
    </cfRule>
    <cfRule type="containsText" dxfId="74" priority="11" operator="containsText" text="NP">
      <formula>NOT(ISERROR(SEARCH("NP",C12)))</formula>
    </cfRule>
    <cfRule type="containsText" dxfId="73" priority="12" operator="containsText" text="NE">
      <formula>NOT(ISERROR(SEARCH("NE",C12)))</formula>
    </cfRule>
  </conditionalFormatting>
  <conditionalFormatting sqref="D12:D47 F12:F47 H12:H47 J12:J47 L12:L47 N12:N47">
    <cfRule type="cellIs" dxfId="72" priority="6" operator="greaterThan">
      <formula>0</formula>
    </cfRule>
  </conditionalFormatting>
  <conditionalFormatting sqref="K12:K17 G12:G48 I12:I48 M12">
    <cfRule type="containsText" dxfId="71" priority="19" operator="containsText" text="i">
      <formula>NOT(ISERROR(SEARCH("i",G12)))</formula>
    </cfRule>
  </conditionalFormatting>
  <conditionalFormatting sqref="K12:K17 G12:G48 I12:I48 M12:M47">
    <cfRule type="cellIs" dxfId="70" priority="14" operator="lessThan">
      <formula>10</formula>
    </cfRule>
    <cfRule type="containsText" dxfId="69" priority="15" operator="containsText" text="NP">
      <formula>NOT(ISERROR(SEARCH("NP",G12)))</formula>
    </cfRule>
    <cfRule type="containsText" dxfId="68" priority="16" operator="containsText" text="NE">
      <formula>NOT(ISERROR(SEARCH("NE",G12)))</formula>
    </cfRule>
    <cfRule type="containsText" dxfId="67" priority="17" operator="containsText" text="I">
      <formula>NOT(ISERROR(SEARCH("I",G12)))</formula>
    </cfRule>
  </conditionalFormatting>
  <conditionalFormatting sqref="L18:O48 A12:O17 A18:J48 K18:K53">
    <cfRule type="expression" dxfId="66" priority="5">
      <formula>$A12=""</formula>
    </cfRule>
  </conditionalFormatting>
  <conditionalFormatting sqref="M12">
    <cfRule type="containsText" dxfId="65" priority="20" stopIfTrue="1" operator="containsText" text="NP">
      <formula>NOT(ISERROR(SEARCH("NP",M12)))</formula>
    </cfRule>
  </conditionalFormatting>
  <conditionalFormatting sqref="M40:M44">
    <cfRule type="expression" dxfId="64" priority="4">
      <formula>$A40&lt;&gt;""</formula>
    </cfRule>
  </conditionalFormatting>
  <conditionalFormatting sqref="O12:O47">
    <cfRule type="cellIs" dxfId="63" priority="18" operator="lessThan">
      <formula>10</formula>
    </cfRule>
  </conditionalFormatting>
  <conditionalFormatting sqref="O12:O48">
    <cfRule type="cellIs" dxfId="62" priority="7" operator="lessThan">
      <formula>9.4</formula>
    </cfRule>
  </conditionalFormatting>
  <conditionalFormatting sqref="Q12:R42 Q43 R43:R45">
    <cfRule type="expression" dxfId="61" priority="1">
      <formula>$A12&lt;&gt;""</formula>
    </cfRule>
  </conditionalFormatting>
  <conditionalFormatting sqref="T12:U47">
    <cfRule type="cellIs" dxfId="60" priority="3" operator="lessThan">
      <formula>9.5</formula>
    </cfRule>
  </conditionalFormatting>
  <printOptions verticalCentered="1"/>
  <pageMargins left="0" right="0" top="0" bottom="0" header="7.874015748031496E-2" footer="0"/>
  <pageSetup scale="4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3AE2-B7C8-4733-AFDA-35A91066612B}">
  <dimension ref="A1:AJ43"/>
  <sheetViews>
    <sheetView view="pageBreakPreview" zoomScale="32" zoomScaleNormal="40" zoomScaleSheetLayoutView="32" workbookViewId="0">
      <pane xSplit="3" ySplit="8" topLeftCell="D9" activePane="bottomRight" state="frozen"/>
      <selection activeCell="D3" sqref="D3:AH3"/>
      <selection pane="topRight" activeCell="D3" sqref="D3:AH3"/>
      <selection pane="bottomLeft" activeCell="D3" sqref="D3:AH3"/>
      <selection pane="bottomRight" activeCell="H14" sqref="H14"/>
    </sheetView>
  </sheetViews>
  <sheetFormatPr baseColWidth="10" defaultColWidth="9.140625" defaultRowHeight="23.25" x14ac:dyDescent="0.35"/>
  <cols>
    <col min="1" max="1" width="16.85546875" style="8" customWidth="1"/>
    <col min="2" max="2" width="102" style="7" customWidth="1"/>
    <col min="3" max="3" width="13.42578125" style="7" customWidth="1"/>
    <col min="4" max="34" width="13.85546875" style="7" customWidth="1"/>
    <col min="35" max="35" width="13.28515625" style="9" customWidth="1"/>
    <col min="36" max="16384" width="9.140625" style="10"/>
  </cols>
  <sheetData>
    <row r="1" spans="1:36" ht="0.95" customHeight="1" thickBot="1" x14ac:dyDescent="0.4"/>
    <row r="2" spans="1:36" ht="42.75" customHeight="1" thickBot="1" x14ac:dyDescent="0.45">
      <c r="A2" s="16"/>
      <c r="B2" s="16"/>
      <c r="C2" s="17"/>
      <c r="D2" s="121" t="s">
        <v>37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34"/>
      <c r="P2" s="134"/>
      <c r="Q2" s="134"/>
      <c r="R2" s="134"/>
      <c r="S2" s="134"/>
      <c r="T2" s="135" t="s">
        <v>40</v>
      </c>
      <c r="U2" s="136"/>
      <c r="V2" s="136"/>
      <c r="W2" s="136"/>
      <c r="X2" s="137">
        <f>SUM(AB2,AF2)</f>
        <v>34</v>
      </c>
      <c r="Y2" s="138"/>
      <c r="Z2" s="60" t="s">
        <v>17</v>
      </c>
      <c r="AA2" s="18" t="s">
        <v>18</v>
      </c>
      <c r="AB2" s="139">
        <f>COUNTIF(C9:C42,Z2)</f>
        <v>13</v>
      </c>
      <c r="AC2" s="139"/>
      <c r="AD2" s="61" t="s">
        <v>19</v>
      </c>
      <c r="AE2" s="18" t="s">
        <v>18</v>
      </c>
      <c r="AF2" s="139">
        <f>COUNTIF(C9:C42,AD2)</f>
        <v>21</v>
      </c>
      <c r="AG2" s="139"/>
      <c r="AH2" s="140"/>
      <c r="AI2" s="127" t="s">
        <v>25</v>
      </c>
    </row>
    <row r="3" spans="1:36" ht="53.25" customHeight="1" x14ac:dyDescent="0.4">
      <c r="A3" s="54"/>
      <c r="B3" s="57" t="str">
        <f>'AVANCE B'!B7</f>
        <v>2DO  AÑO SECCIÓN "B"</v>
      </c>
      <c r="C3" s="54"/>
      <c r="D3" s="130" t="s">
        <v>39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3"/>
      <c r="AI3" s="128"/>
    </row>
    <row r="4" spans="1:36" ht="57" customHeight="1" x14ac:dyDescent="0.35">
      <c r="A4" s="55" t="s">
        <v>36</v>
      </c>
      <c r="B4" s="62" t="str">
        <f>'AVANCE B'!B9</f>
        <v>XX</v>
      </c>
      <c r="C4" s="125" t="s">
        <v>28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8"/>
    </row>
    <row r="5" spans="1:36" ht="57" customHeight="1" x14ac:dyDescent="0.35">
      <c r="A5" s="56" t="s">
        <v>33</v>
      </c>
      <c r="B5" s="62">
        <f>'AVANCE B'!B6</f>
        <v>0</v>
      </c>
      <c r="C5" s="125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8"/>
    </row>
    <row r="6" spans="1:36" ht="57" customHeight="1" x14ac:dyDescent="0.35">
      <c r="A6" s="124" t="s">
        <v>20</v>
      </c>
      <c r="B6" s="124"/>
      <c r="C6" s="125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9"/>
    </row>
    <row r="7" spans="1:36" ht="57" customHeight="1" x14ac:dyDescent="0.35">
      <c r="A7" s="19" t="s">
        <v>21</v>
      </c>
      <c r="B7" s="20" t="s">
        <v>15</v>
      </c>
      <c r="C7" s="126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21" t="s">
        <v>23</v>
      </c>
    </row>
    <row r="8" spans="1:36" ht="44.25" customHeight="1" x14ac:dyDescent="0.35">
      <c r="A8" s="23"/>
      <c r="B8" s="24"/>
      <c r="C8" s="59" t="s">
        <v>22</v>
      </c>
      <c r="D8" s="48">
        <v>1</v>
      </c>
      <c r="E8" s="48" t="s">
        <v>31</v>
      </c>
      <c r="F8" s="48" t="s">
        <v>32</v>
      </c>
      <c r="G8" s="48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49"/>
    </row>
    <row r="9" spans="1:36" ht="66.75" customHeight="1" x14ac:dyDescent="0.35">
      <c r="A9" s="22">
        <v>1</v>
      </c>
      <c r="B9" s="74" t="str">
        <f>TRANSPOSE('AVANCE B'!B12)</f>
        <v>MARCANO RAMOS MARÍA PAULA</v>
      </c>
      <c r="C9" s="77" t="s">
        <v>19</v>
      </c>
      <c r="D9" s="58"/>
      <c r="E9" s="25"/>
      <c r="F9" s="25"/>
      <c r="G9" s="25">
        <v>2</v>
      </c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7">
        <f>SUM(D9:AH9)</f>
        <v>2</v>
      </c>
      <c r="AJ9" s="11"/>
    </row>
    <row r="10" spans="1:36" ht="66.75" customHeight="1" x14ac:dyDescent="0.35">
      <c r="A10" s="22">
        <v>2</v>
      </c>
      <c r="B10" s="74" t="str" cm="1">
        <f t="array" ref="B10">TRANSPOSE('AVANCE B'!B13)</f>
        <v>MORENO MAITA MIRANDA VALERIA</v>
      </c>
      <c r="C10" s="77" t="s">
        <v>19</v>
      </c>
      <c r="D10" s="58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>
        <f t="shared" ref="AI10:AI42" si="0">SUM(D10:AH10)</f>
        <v>0</v>
      </c>
      <c r="AJ10" s="11"/>
    </row>
    <row r="11" spans="1:36" ht="66.75" customHeight="1" x14ac:dyDescent="0.35">
      <c r="A11" s="22">
        <v>3</v>
      </c>
      <c r="B11" s="74" t="str" cm="1">
        <f t="array" ref="B11">TRANSPOSE('AVANCE B'!B14)</f>
        <v>MAURERA ORDAZ ANA VALENTINA</v>
      </c>
      <c r="C11" s="77" t="s">
        <v>19</v>
      </c>
      <c r="D11" s="58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>
        <f t="shared" si="0"/>
        <v>0</v>
      </c>
      <c r="AJ11" s="11"/>
    </row>
    <row r="12" spans="1:36" ht="66.75" customHeight="1" x14ac:dyDescent="0.35">
      <c r="A12" s="22">
        <v>4</v>
      </c>
      <c r="B12" s="74" t="str" cm="1">
        <f t="array" ref="B12">TRANSPOSE('AVANCE B'!B15)</f>
        <v>PÉREZ CAMPOS LUCÍA VALENTINA</v>
      </c>
      <c r="C12" s="77" t="s">
        <v>19</v>
      </c>
      <c r="D12" s="58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>
        <f t="shared" si="0"/>
        <v>0</v>
      </c>
      <c r="AJ12" s="11"/>
    </row>
    <row r="13" spans="1:36" ht="66.75" customHeight="1" x14ac:dyDescent="0.35">
      <c r="A13" s="22">
        <v>5</v>
      </c>
      <c r="B13" s="74" t="str" cm="1">
        <f t="array" ref="B13">TRANSPOSE('AVANCE B'!B16)</f>
        <v>CAMPOS MAITA KAMILA ISABELLA DE JESÚS</v>
      </c>
      <c r="C13" s="77" t="s">
        <v>19</v>
      </c>
      <c r="D13" s="58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>
        <f t="shared" si="0"/>
        <v>0</v>
      </c>
      <c r="AJ13" s="11"/>
    </row>
    <row r="14" spans="1:36" ht="66.75" customHeight="1" x14ac:dyDescent="0.35">
      <c r="A14" s="22">
        <v>6</v>
      </c>
      <c r="B14" s="74" t="str" cm="1">
        <f t="array" ref="B14">TRANSPOSE('AVANCE B'!B17)</f>
        <v>MARCANO COLMENARES ANDREA VALENTINA</v>
      </c>
      <c r="C14" s="77" t="s">
        <v>19</v>
      </c>
      <c r="D14" s="58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>
        <f t="shared" si="0"/>
        <v>0</v>
      </c>
      <c r="AJ14" s="11"/>
    </row>
    <row r="15" spans="1:36" ht="66.75" customHeight="1" x14ac:dyDescent="0.35">
      <c r="A15" s="22">
        <v>7</v>
      </c>
      <c r="B15" s="74" t="str" cm="1">
        <f t="array" ref="B15">TRANSPOSE('AVANCE B'!B18)</f>
        <v>ARISMENDI PINO RODRIGO ALEJANDRO</v>
      </c>
      <c r="C15" s="77" t="s">
        <v>17</v>
      </c>
      <c r="D15" s="58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>
        <f t="shared" si="0"/>
        <v>0</v>
      </c>
      <c r="AJ15" s="11"/>
    </row>
    <row r="16" spans="1:36" ht="66.75" customHeight="1" x14ac:dyDescent="0.35">
      <c r="A16" s="22">
        <v>8</v>
      </c>
      <c r="B16" s="74" t="str" cm="1">
        <f t="array" ref="B16">TRANSPOSE('AVANCE B'!B19)</f>
        <v>GUARISMA RIVAS JOSÉ DAVID</v>
      </c>
      <c r="C16" s="77" t="s">
        <v>17</v>
      </c>
      <c r="D16" s="58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>
        <f t="shared" si="0"/>
        <v>0</v>
      </c>
      <c r="AJ16" s="11"/>
    </row>
    <row r="17" spans="1:36" ht="66.75" customHeight="1" x14ac:dyDescent="0.35">
      <c r="A17" s="22">
        <v>9</v>
      </c>
      <c r="B17" s="74" t="str" cm="1">
        <f t="array" ref="B17">TRANSPOSE('AVANCE B'!B20)</f>
        <v>RODRÍGUEZ LAUCHO LISMAR ELIBET</v>
      </c>
      <c r="C17" s="77" t="s">
        <v>19</v>
      </c>
      <c r="D17" s="58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>
        <f t="shared" si="0"/>
        <v>0</v>
      </c>
      <c r="AJ17" s="11"/>
    </row>
    <row r="18" spans="1:36" ht="66.75" customHeight="1" x14ac:dyDescent="0.35">
      <c r="A18" s="22">
        <v>10</v>
      </c>
      <c r="B18" s="74" t="str" cm="1">
        <f t="array" ref="B18">TRANSPOSE('AVANCE B'!B21)</f>
        <v>PÉREZ CABELLO EHIZA SOFIA</v>
      </c>
      <c r="C18" s="77" t="s">
        <v>19</v>
      </c>
      <c r="D18" s="58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>
        <f t="shared" si="0"/>
        <v>0</v>
      </c>
      <c r="AJ18" s="11"/>
    </row>
    <row r="19" spans="1:36" ht="66.75" customHeight="1" x14ac:dyDescent="0.35">
      <c r="A19" s="22">
        <v>11</v>
      </c>
      <c r="B19" s="74" t="str" cm="1">
        <f t="array" ref="B19">TRANSPOSE('AVANCE B'!B22)</f>
        <v>AGUILARTE ACUÑA ARANSSA YSABEL</v>
      </c>
      <c r="C19" s="77" t="s">
        <v>19</v>
      </c>
      <c r="D19" s="58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>
        <f t="shared" si="0"/>
        <v>0</v>
      </c>
      <c r="AJ19" s="11"/>
    </row>
    <row r="20" spans="1:36" ht="66.75" customHeight="1" x14ac:dyDescent="0.35">
      <c r="A20" s="22">
        <v>12</v>
      </c>
      <c r="B20" s="74" t="str" cm="1">
        <f t="array" ref="B20">TRANSPOSE('AVANCE B'!B23)</f>
        <v>MÉNDEZ PACHECO JEREMÍAS ABRAHAM</v>
      </c>
      <c r="C20" s="77" t="s">
        <v>17</v>
      </c>
      <c r="D20" s="58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7">
        <f t="shared" si="0"/>
        <v>0</v>
      </c>
      <c r="AJ20" s="11"/>
    </row>
    <row r="21" spans="1:36" ht="66.75" customHeight="1" x14ac:dyDescent="0.35">
      <c r="A21" s="22">
        <v>13</v>
      </c>
      <c r="B21" s="74" t="str" cm="1">
        <f t="array" ref="B21">TRANSPOSE('AVANCE B'!B24)</f>
        <v>GIBBS MACUARES ALEJANDRA ISABELLA</v>
      </c>
      <c r="C21" s="77" t="s">
        <v>19</v>
      </c>
      <c r="D21" s="58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7">
        <f t="shared" si="0"/>
        <v>0</v>
      </c>
      <c r="AJ21" s="11"/>
    </row>
    <row r="22" spans="1:36" ht="66.75" customHeight="1" x14ac:dyDescent="0.35">
      <c r="A22" s="22">
        <v>14</v>
      </c>
      <c r="B22" s="74" t="str" cm="1">
        <f t="array" ref="B22">TRANSPOSE('AVANCE B'!B25)</f>
        <v>HATOUM NARVÁEZ GADA BETZAIDA</v>
      </c>
      <c r="C22" s="77" t="s">
        <v>19</v>
      </c>
      <c r="D22" s="58"/>
      <c r="E22" s="25"/>
      <c r="F22" s="25"/>
      <c r="G22" s="25"/>
      <c r="H22" s="25"/>
      <c r="I22" s="25"/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>
        <f t="shared" si="0"/>
        <v>0</v>
      </c>
      <c r="AJ22" s="11"/>
    </row>
    <row r="23" spans="1:36" ht="66.75" customHeight="1" x14ac:dyDescent="0.35">
      <c r="A23" s="22">
        <v>15</v>
      </c>
      <c r="B23" s="74" t="str" cm="1">
        <f t="array" ref="B23">TRANSPOSE('AVANCE B'!B26)</f>
        <v>DÍAZ LÓPEZ JOSEANNYS AMANDA</v>
      </c>
      <c r="C23" s="77" t="s">
        <v>19</v>
      </c>
      <c r="D23" s="58"/>
      <c r="E23" s="25"/>
      <c r="F23" s="25"/>
      <c r="G23" s="25"/>
      <c r="H23" s="25"/>
      <c r="I23" s="25"/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7">
        <f t="shared" si="0"/>
        <v>0</v>
      </c>
      <c r="AJ23" s="11"/>
    </row>
    <row r="24" spans="1:36" ht="66.75" customHeight="1" x14ac:dyDescent="0.35">
      <c r="A24" s="22">
        <v>16</v>
      </c>
      <c r="B24" s="74" t="str" cm="1">
        <f t="array" ref="B24">TRANSPOSE('AVANCE B'!B27)</f>
        <v>SALAZAR MAITA GABRIEL ALEJANDRO</v>
      </c>
      <c r="C24" s="77" t="s">
        <v>17</v>
      </c>
      <c r="D24" s="58"/>
      <c r="E24" s="25"/>
      <c r="F24" s="25"/>
      <c r="G24" s="25"/>
      <c r="H24" s="25"/>
      <c r="I24" s="25"/>
      <c r="J24" s="2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 t="s">
        <v>28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7">
        <f t="shared" si="0"/>
        <v>0</v>
      </c>
      <c r="AJ24" s="11"/>
    </row>
    <row r="25" spans="1:36" ht="66.75" customHeight="1" x14ac:dyDescent="0.35">
      <c r="A25" s="22">
        <v>17</v>
      </c>
      <c r="B25" s="74" t="str" cm="1">
        <f t="array" ref="B25">TRANSPOSE('AVANCE B'!B28)</f>
        <v>RODRÍGUEZ BELLO ADRIAN JOSÉ</v>
      </c>
      <c r="C25" s="77" t="s">
        <v>17</v>
      </c>
      <c r="D25" s="58"/>
      <c r="E25" s="25"/>
      <c r="F25" s="25"/>
      <c r="G25" s="25"/>
      <c r="H25" s="25"/>
      <c r="I25" s="25"/>
      <c r="J25" s="25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>
        <f t="shared" si="0"/>
        <v>0</v>
      </c>
      <c r="AJ25" s="11"/>
    </row>
    <row r="26" spans="1:36" ht="66.75" customHeight="1" x14ac:dyDescent="0.35">
      <c r="A26" s="22">
        <v>18</v>
      </c>
      <c r="B26" s="74" t="str" cm="1">
        <f t="array" ref="B26">TRANSPOSE('AVANCE B'!B29)</f>
        <v>RODRÍGUEZ PATETE ALFONSO LUIS</v>
      </c>
      <c r="C26" s="77" t="s">
        <v>17</v>
      </c>
      <c r="D26" s="58"/>
      <c r="E26" s="25"/>
      <c r="F26" s="25"/>
      <c r="G26" s="25"/>
      <c r="H26" s="25"/>
      <c r="I26" s="25"/>
      <c r="J26" s="25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>
        <f t="shared" si="0"/>
        <v>0</v>
      </c>
      <c r="AJ26" s="11"/>
    </row>
    <row r="27" spans="1:36" ht="66.75" customHeight="1" x14ac:dyDescent="0.35">
      <c r="A27" s="22">
        <v>19</v>
      </c>
      <c r="B27" s="74" t="str" cm="1">
        <f t="array" ref="B27">TRANSPOSE('AVANCE B'!B30)</f>
        <v>MAITA CARABALLO GABRIEL ALEJANDRO</v>
      </c>
      <c r="C27" s="77" t="s">
        <v>17</v>
      </c>
      <c r="D27" s="58"/>
      <c r="E27" s="25"/>
      <c r="F27" s="25"/>
      <c r="G27" s="25"/>
      <c r="H27" s="25"/>
      <c r="I27" s="25"/>
      <c r="J27" s="25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>
        <f t="shared" si="0"/>
        <v>0</v>
      </c>
      <c r="AJ27" s="11"/>
    </row>
    <row r="28" spans="1:36" ht="66.75" customHeight="1" x14ac:dyDescent="0.35">
      <c r="A28" s="22">
        <v>20</v>
      </c>
      <c r="B28" s="74" t="str" cm="1">
        <f t="array" ref="B28">TRANSPOSE('AVANCE B'!B31)</f>
        <v>ACOSTA ARREAZA EDWIN AAROM</v>
      </c>
      <c r="C28" s="77" t="s">
        <v>17</v>
      </c>
      <c r="D28" s="58"/>
      <c r="E28" s="25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>
        <f t="shared" si="0"/>
        <v>0</v>
      </c>
      <c r="AJ28" s="11"/>
    </row>
    <row r="29" spans="1:36" ht="66.75" customHeight="1" x14ac:dyDescent="0.35">
      <c r="A29" s="22">
        <v>21</v>
      </c>
      <c r="B29" s="74" t="str" cm="1">
        <f t="array" ref="B29">TRANSPOSE('AVANCE B'!B32)</f>
        <v>GARCÍA HUNG AMY VALERIA</v>
      </c>
      <c r="C29" s="77" t="s">
        <v>19</v>
      </c>
      <c r="D29" s="58"/>
      <c r="E29" s="25"/>
      <c r="F29" s="25"/>
      <c r="G29" s="25"/>
      <c r="H29" s="25"/>
      <c r="I29" s="25"/>
      <c r="J29" s="25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>
        <f t="shared" si="0"/>
        <v>0</v>
      </c>
      <c r="AJ29" s="11"/>
    </row>
    <row r="30" spans="1:36" ht="66.75" customHeight="1" x14ac:dyDescent="0.35">
      <c r="A30" s="22">
        <v>22</v>
      </c>
      <c r="B30" s="74" t="str" cm="1">
        <f t="array" ref="B30">TRANSPOSE('AVANCE B'!B33)</f>
        <v>MOSQUEDA GARZÓN HELEN SOPHIA</v>
      </c>
      <c r="C30" s="77" t="s">
        <v>19</v>
      </c>
      <c r="D30" s="58"/>
      <c r="E30" s="25"/>
      <c r="F30" s="25"/>
      <c r="G30" s="25"/>
      <c r="H30" s="25"/>
      <c r="I30" s="25"/>
      <c r="J30" s="25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>
        <f t="shared" si="0"/>
        <v>0</v>
      </c>
      <c r="AJ30" s="11"/>
    </row>
    <row r="31" spans="1:36" ht="66.75" customHeight="1" x14ac:dyDescent="0.35">
      <c r="A31" s="22">
        <v>23</v>
      </c>
      <c r="B31" s="74" t="str" cm="1">
        <f t="array" ref="B31">TRANSPOSE('AVANCE B'!B34)</f>
        <v>RAMÍREZ QUIJADA SARA VALENTINA DEL VALLE</v>
      </c>
      <c r="C31" s="77" t="s">
        <v>19</v>
      </c>
      <c r="D31" s="58"/>
      <c r="E31" s="25"/>
      <c r="F31" s="25"/>
      <c r="G31" s="25"/>
      <c r="H31" s="25"/>
      <c r="I31" s="25"/>
      <c r="J31" s="25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>
        <f t="shared" si="0"/>
        <v>0</v>
      </c>
      <c r="AJ31" s="11"/>
    </row>
    <row r="32" spans="1:36" ht="66.75" customHeight="1" x14ac:dyDescent="0.35">
      <c r="A32" s="22">
        <v>24</v>
      </c>
      <c r="B32" s="74" t="str" cm="1">
        <f t="array" ref="B32">TRANSPOSE('AVANCE B'!B35)</f>
        <v>CHAURÁN GONZÁLEZ LUISANNY CAROLINA</v>
      </c>
      <c r="C32" s="77" t="s">
        <v>19</v>
      </c>
      <c r="D32" s="58"/>
      <c r="E32" s="25"/>
      <c r="F32" s="25"/>
      <c r="G32" s="25"/>
      <c r="H32" s="25"/>
      <c r="I32" s="25"/>
      <c r="J32" s="25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>
        <f t="shared" si="0"/>
        <v>0</v>
      </c>
      <c r="AJ32" s="11"/>
    </row>
    <row r="33" spans="1:36" ht="66.75" customHeight="1" x14ac:dyDescent="0.35">
      <c r="A33" s="22">
        <v>25</v>
      </c>
      <c r="B33" s="74" t="str" cm="1">
        <f t="array" ref="B33">TRANSPOSE('AVANCE B'!B36)</f>
        <v>VELÁSQUEZ GARCÍA ARIANNETTE DE LOS ÁNGELES</v>
      </c>
      <c r="C33" s="77" t="s">
        <v>19</v>
      </c>
      <c r="D33" s="58"/>
      <c r="E33" s="25"/>
      <c r="F33" s="25"/>
      <c r="G33" s="25"/>
      <c r="H33" s="25"/>
      <c r="I33" s="25"/>
      <c r="J33" s="25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>
        <f t="shared" si="0"/>
        <v>0</v>
      </c>
      <c r="AJ33" s="11"/>
    </row>
    <row r="34" spans="1:36" ht="66.75" customHeight="1" x14ac:dyDescent="0.35">
      <c r="A34" s="22">
        <v>26</v>
      </c>
      <c r="B34" s="74" t="str" cm="1">
        <f t="array" ref="B34">TRANSPOSE('AVANCE B'!B37)</f>
        <v>MELGAREJO VILLANUEVA SAHYRETH VALENTINA</v>
      </c>
      <c r="C34" s="77" t="s">
        <v>19</v>
      </c>
      <c r="D34" s="58"/>
      <c r="E34" s="25"/>
      <c r="F34" s="25"/>
      <c r="G34" s="25"/>
      <c r="H34" s="25"/>
      <c r="I34" s="25"/>
      <c r="J34" s="25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>
        <f t="shared" si="0"/>
        <v>0</v>
      </c>
      <c r="AJ34" s="11"/>
    </row>
    <row r="35" spans="1:36" ht="66.75" customHeight="1" x14ac:dyDescent="0.35">
      <c r="A35" s="22">
        <v>27</v>
      </c>
      <c r="B35" s="74" t="str" cm="1">
        <f t="array" ref="B35">TRANSPOSE('AVANCE B'!B38)</f>
        <v>JIMENEZ MOGOLLÓN KEVYN MIGUEL</v>
      </c>
      <c r="C35" s="77" t="s">
        <v>17</v>
      </c>
      <c r="D35" s="58"/>
      <c r="E35" s="25"/>
      <c r="F35" s="25"/>
      <c r="G35" s="25"/>
      <c r="H35" s="25"/>
      <c r="I35" s="25"/>
      <c r="J35" s="25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>
        <f t="shared" si="0"/>
        <v>0</v>
      </c>
      <c r="AJ35" s="11"/>
    </row>
    <row r="36" spans="1:36" ht="66.75" customHeight="1" x14ac:dyDescent="0.35">
      <c r="A36" s="22">
        <v>28</v>
      </c>
      <c r="B36" s="74" t="str" cm="1">
        <f t="array" ref="B36">TRANSPOSE('AVANCE B'!B39)</f>
        <v>GÓMEZ MACÍAS GUSTAVO ALEJANDRO</v>
      </c>
      <c r="C36" s="77" t="s">
        <v>17</v>
      </c>
      <c r="D36" s="58"/>
      <c r="E36" s="25"/>
      <c r="F36" s="25"/>
      <c r="G36" s="25"/>
      <c r="H36" s="25"/>
      <c r="I36" s="25"/>
      <c r="J36" s="25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>
        <f t="shared" si="0"/>
        <v>0</v>
      </c>
      <c r="AJ36" s="11"/>
    </row>
    <row r="37" spans="1:36" ht="66.75" customHeight="1" x14ac:dyDescent="0.35">
      <c r="A37" s="22">
        <v>29</v>
      </c>
      <c r="B37" s="74" t="str" cm="1">
        <f t="array" ref="B37">TRANSPOSE('AVANCE B'!B40)</f>
        <v>DÍAZ ROMERO PABLO JOSÉ</v>
      </c>
      <c r="C37" s="77" t="s">
        <v>17</v>
      </c>
      <c r="D37" s="58"/>
      <c r="E37" s="25"/>
      <c r="F37" s="25"/>
      <c r="G37" s="25"/>
      <c r="H37" s="25"/>
      <c r="I37" s="25"/>
      <c r="J37" s="25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>
        <f t="shared" si="0"/>
        <v>0</v>
      </c>
      <c r="AJ37" s="11"/>
    </row>
    <row r="38" spans="1:36" ht="66.75" customHeight="1" x14ac:dyDescent="0.35">
      <c r="A38" s="22">
        <v>30</v>
      </c>
      <c r="B38" s="74" t="str" cm="1">
        <f t="array" ref="B38">TRANSPOSE('AVANCE B'!B41)</f>
        <v>GARCÍA MEDINA SUSEJ FABIANNE</v>
      </c>
      <c r="C38" s="77" t="s">
        <v>19</v>
      </c>
      <c r="D38" s="58"/>
      <c r="E38" s="25"/>
      <c r="F38" s="25"/>
      <c r="G38" s="25"/>
      <c r="H38" s="25"/>
      <c r="I38" s="25"/>
      <c r="J38" s="25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>
        <f t="shared" si="0"/>
        <v>0</v>
      </c>
      <c r="AJ38" s="11"/>
    </row>
    <row r="39" spans="1:36" ht="66.75" customHeight="1" x14ac:dyDescent="0.35">
      <c r="A39" s="22">
        <v>31</v>
      </c>
      <c r="B39" s="74" t="str" cm="1">
        <f t="array" ref="B39">TRANSPOSE('AVANCE B'!B42)</f>
        <v>BARRIOS YAGUA ROSACNER ALEJANDRA</v>
      </c>
      <c r="C39" s="77" t="s">
        <v>19</v>
      </c>
      <c r="D39" s="58"/>
      <c r="E39" s="25"/>
      <c r="F39" s="25"/>
      <c r="G39" s="25"/>
      <c r="H39" s="25"/>
      <c r="I39" s="25"/>
      <c r="J39" s="25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>
        <f t="shared" si="0"/>
        <v>0</v>
      </c>
      <c r="AJ39" s="11"/>
    </row>
    <row r="40" spans="1:36" ht="66.75" customHeight="1" x14ac:dyDescent="0.35">
      <c r="A40" s="22">
        <v>32</v>
      </c>
      <c r="B40" s="74" t="str" cm="1">
        <f t="array" ref="B40">TRANSPOSE('AVANCE B'!B43)</f>
        <v>FLORES HERNÁNDEZ JHOAN ELIEZER DAVID</v>
      </c>
      <c r="C40" s="77" t="s">
        <v>17</v>
      </c>
      <c r="D40" s="58"/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>
        <f t="shared" si="0"/>
        <v>0</v>
      </c>
      <c r="AJ40" s="11"/>
    </row>
    <row r="41" spans="1:36" ht="66.75" customHeight="1" x14ac:dyDescent="0.35">
      <c r="A41" s="22">
        <v>33</v>
      </c>
      <c r="B41" s="74" t="str" cm="1">
        <f t="array" ref="B41">TRANSPOSE('AVANCE B'!B44)</f>
        <v>HERRERA CONTRERAS JOSÉ IGNACIO</v>
      </c>
      <c r="C41" s="77" t="s">
        <v>17</v>
      </c>
      <c r="D41" s="58"/>
      <c r="E41" s="25"/>
      <c r="F41" s="25"/>
      <c r="G41" s="25"/>
      <c r="H41" s="25"/>
      <c r="I41" s="25"/>
      <c r="J41" s="25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>
        <f t="shared" si="0"/>
        <v>0</v>
      </c>
      <c r="AJ41" s="11"/>
    </row>
    <row r="42" spans="1:36" ht="66.75" customHeight="1" x14ac:dyDescent="0.35">
      <c r="A42" s="22">
        <v>34</v>
      </c>
      <c r="B42" s="74" t="str" cm="1">
        <f t="array" ref="B42">TRANSPOSE('AVANCE B'!B45)</f>
        <v>CALDERÓN PRIETO AVRILL VICTORIA</v>
      </c>
      <c r="C42" s="77" t="s">
        <v>19</v>
      </c>
      <c r="D42" s="58"/>
      <c r="E42" s="46"/>
      <c r="F42" s="46"/>
      <c r="G42" s="46"/>
      <c r="H42" s="46"/>
      <c r="I42" s="46"/>
      <c r="J42" s="46"/>
      <c r="K42" s="46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27">
        <f t="shared" si="0"/>
        <v>0</v>
      </c>
      <c r="AJ42" s="11"/>
    </row>
    <row r="43" spans="1:36" x14ac:dyDescent="0.35">
      <c r="B43" s="9"/>
    </row>
  </sheetData>
  <sheetProtection algorithmName="SHA-512" hashValue="Bf9RuTdyMk6zmJojOU+FZMTW8No6FlyQJ8effdk2cAQSaBuRt4d0MbqbcY5VLxLmd5TgwQPe13T2k0BILuSfpA==" saltValue="4nCGHU3pKfMBqBx8iFcxDA==" spinCount="100000" sheet="1" objects="1" scenarios="1"/>
  <mergeCells count="41">
    <mergeCell ref="O4:O7"/>
    <mergeCell ref="AF2:AH2"/>
    <mergeCell ref="A6:B6"/>
    <mergeCell ref="AC4:AC7"/>
    <mergeCell ref="AD4:AD7"/>
    <mergeCell ref="AE4:AE7"/>
    <mergeCell ref="AF4:AF7"/>
    <mergeCell ref="Q4:Q7"/>
    <mergeCell ref="R4:R7"/>
    <mergeCell ref="S4:S7"/>
    <mergeCell ref="T4:T7"/>
    <mergeCell ref="U4:U7"/>
    <mergeCell ref="V4:V7"/>
    <mergeCell ref="K4:K7"/>
    <mergeCell ref="L4:L7"/>
    <mergeCell ref="M4:M7"/>
    <mergeCell ref="N4:N7"/>
    <mergeCell ref="AG4:AG7"/>
    <mergeCell ref="AH4:AH7"/>
    <mergeCell ref="W4:W7"/>
    <mergeCell ref="X4:X7"/>
    <mergeCell ref="Y4:Y7"/>
    <mergeCell ref="Z4:Z7"/>
    <mergeCell ref="AA4:AA7"/>
    <mergeCell ref="AB4:AB7"/>
    <mergeCell ref="P4:P7"/>
    <mergeCell ref="AI2:AI6"/>
    <mergeCell ref="D3:AH3"/>
    <mergeCell ref="C4:C7"/>
    <mergeCell ref="D4:D7"/>
    <mergeCell ref="E4:E7"/>
    <mergeCell ref="F4:F7"/>
    <mergeCell ref="G4:G7"/>
    <mergeCell ref="H4:H7"/>
    <mergeCell ref="I4:I7"/>
    <mergeCell ref="J4:J7"/>
    <mergeCell ref="D2:N2"/>
    <mergeCell ref="O2:S2"/>
    <mergeCell ref="T2:W2"/>
    <mergeCell ref="X2:Y2"/>
    <mergeCell ref="AB2:AC2"/>
  </mergeCells>
  <pageMargins left="0.19685039370078741" right="0.11811023622047245" top="0.19685039370078741" bottom="0.19685039370078741" header="0.51181102362204722" footer="0.51181102362204722"/>
  <pageSetup scale="2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6D9B-0E3B-4341-A5BE-23AFC277692B}">
  <sheetPr>
    <pageSetUpPr autoPageBreaks="0"/>
  </sheetPr>
  <dimension ref="A1:X53"/>
  <sheetViews>
    <sheetView view="pageBreakPreview" zoomScale="60" zoomScaleNormal="60" zoomScalePageLayoutView="80" workbookViewId="0">
      <pane xSplit="2" ySplit="11" topLeftCell="C12" activePane="bottomRight" state="frozen"/>
      <selection activeCell="M14" sqref="M14"/>
      <selection pane="topRight" activeCell="M14" sqref="M14"/>
      <selection pane="bottomLeft" activeCell="M14" sqref="M14"/>
      <selection pane="bottomRight" activeCell="E13" sqref="E13"/>
    </sheetView>
  </sheetViews>
  <sheetFormatPr baseColWidth="10" defaultColWidth="11.42578125" defaultRowHeight="16.5" x14ac:dyDescent="0.3"/>
  <cols>
    <col min="1" max="1" width="13.5703125" style="1" customWidth="1"/>
    <col min="2" max="2" width="64.140625" style="2" customWidth="1"/>
    <col min="3" max="12" width="8.7109375" style="1" customWidth="1"/>
    <col min="13" max="14" width="7.42578125" style="1" customWidth="1"/>
    <col min="15" max="15" width="10.140625" style="1" customWidth="1"/>
    <col min="16" max="16" width="7.140625" customWidth="1"/>
    <col min="17" max="18" width="7.7109375" customWidth="1"/>
    <col min="19" max="19" width="9.5703125" customWidth="1"/>
    <col min="20" max="20" width="10.42578125" customWidth="1"/>
    <col min="21" max="22" width="7.42578125" customWidth="1"/>
    <col min="23" max="23" width="7.140625" customWidth="1"/>
    <col min="24" max="24" width="39.42578125" customWidth="1"/>
  </cols>
  <sheetData>
    <row r="1" spans="1:24" ht="29.25" customHeight="1" x14ac:dyDescent="0.35">
      <c r="A1" s="3"/>
      <c r="B1" s="4"/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6" t="s">
        <v>27</v>
      </c>
      <c r="U1" s="107"/>
      <c r="V1" s="107"/>
      <c r="W1" s="107"/>
      <c r="X1" s="107"/>
    </row>
    <row r="2" spans="1:24" ht="14.1" customHeight="1" x14ac:dyDescent="0.3">
      <c r="A2" s="3"/>
      <c r="B2" s="4"/>
      <c r="C2" s="111" t="s">
        <v>26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  <c r="P2" s="117" t="s">
        <v>24</v>
      </c>
      <c r="Q2" s="119" t="s">
        <v>2</v>
      </c>
      <c r="R2" s="119"/>
      <c r="S2" s="119"/>
      <c r="T2" s="120" t="s">
        <v>3</v>
      </c>
      <c r="U2" s="84" t="s">
        <v>4</v>
      </c>
      <c r="V2" s="84" t="s">
        <v>5</v>
      </c>
      <c r="W2" s="44"/>
      <c r="X2" s="87" t="s">
        <v>6</v>
      </c>
    </row>
    <row r="3" spans="1:24" ht="20.100000000000001" customHeight="1" x14ac:dyDescent="0.3">
      <c r="A3" s="5"/>
      <c r="B3" s="51" t="s">
        <v>7</v>
      </c>
      <c r="C3" s="114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  <c r="P3" s="118"/>
      <c r="Q3" s="119"/>
      <c r="R3" s="119"/>
      <c r="S3" s="119"/>
      <c r="T3" s="120"/>
      <c r="U3" s="85"/>
      <c r="V3" s="85"/>
      <c r="W3" s="92" t="s">
        <v>1</v>
      </c>
      <c r="X3" s="87"/>
    </row>
    <row r="4" spans="1:24" ht="28.5" customHeight="1" x14ac:dyDescent="0.3">
      <c r="A4" s="6"/>
      <c r="B4" s="51" t="s">
        <v>8</v>
      </c>
      <c r="C4" s="95" t="s">
        <v>29</v>
      </c>
      <c r="D4" s="98">
        <f t="array" ref="D4">TRANSPOSE(D11)%</f>
        <v>0.1</v>
      </c>
      <c r="E4" s="95" t="s">
        <v>38</v>
      </c>
      <c r="F4" s="98">
        <f t="array" ref="F4">TRANSPOSE(F11)%</f>
        <v>0.05</v>
      </c>
      <c r="G4" s="95"/>
      <c r="H4" s="98" cm="1">
        <f t="array" ref="H4">TRANSPOSE(H11)%</f>
        <v>0</v>
      </c>
      <c r="I4" s="95"/>
      <c r="J4" s="98" cm="1">
        <f t="array" ref="J4">TRANSPOSE(J11)%</f>
        <v>0</v>
      </c>
      <c r="K4" s="95"/>
      <c r="L4" s="103" cm="1">
        <f t="array" ref="L4">TRANSPOSE(L11)%</f>
        <v>0</v>
      </c>
      <c r="M4" s="95"/>
      <c r="N4" s="103" cm="1">
        <f t="array" ref="N4">TRANSPOSE(N11)%</f>
        <v>0</v>
      </c>
      <c r="O4" s="13" t="s">
        <v>9</v>
      </c>
      <c r="P4" s="118"/>
      <c r="Q4" s="88" t="s">
        <v>10</v>
      </c>
      <c r="R4" s="88" t="s">
        <v>11</v>
      </c>
      <c r="S4" s="90" t="s">
        <v>12</v>
      </c>
      <c r="T4" s="120"/>
      <c r="U4" s="85"/>
      <c r="V4" s="85"/>
      <c r="W4" s="92"/>
      <c r="X4" s="87"/>
    </row>
    <row r="5" spans="1:24" ht="45" customHeight="1" x14ac:dyDescent="0.3">
      <c r="A5" s="101"/>
      <c r="B5" s="102"/>
      <c r="C5" s="96"/>
      <c r="D5" s="99"/>
      <c r="E5" s="96"/>
      <c r="F5" s="99"/>
      <c r="G5" s="96"/>
      <c r="H5" s="99"/>
      <c r="I5" s="96"/>
      <c r="J5" s="99"/>
      <c r="K5" s="96"/>
      <c r="L5" s="104"/>
      <c r="M5" s="96"/>
      <c r="N5" s="104"/>
      <c r="O5" s="14">
        <f>SUM(D11,F11,H11,J11,L11,N11)</f>
        <v>15</v>
      </c>
      <c r="P5" s="118"/>
      <c r="Q5" s="88"/>
      <c r="R5" s="88"/>
      <c r="S5" s="90"/>
      <c r="T5" s="120"/>
      <c r="U5" s="85"/>
      <c r="V5" s="85"/>
      <c r="W5" s="92"/>
      <c r="X5" s="87"/>
    </row>
    <row r="6" spans="1:24" ht="25.5" customHeight="1" x14ac:dyDescent="0.3">
      <c r="A6" s="52" t="s">
        <v>33</v>
      </c>
      <c r="B6" s="15"/>
      <c r="C6" s="96"/>
      <c r="D6" s="99"/>
      <c r="E6" s="96"/>
      <c r="F6" s="99"/>
      <c r="G6" s="96"/>
      <c r="H6" s="99"/>
      <c r="I6" s="96"/>
      <c r="J6" s="99"/>
      <c r="K6" s="96"/>
      <c r="L6" s="104"/>
      <c r="M6" s="96"/>
      <c r="N6" s="104"/>
      <c r="O6" s="103" t="s">
        <v>13</v>
      </c>
      <c r="P6" s="118"/>
      <c r="Q6" s="88"/>
      <c r="R6" s="88"/>
      <c r="S6" s="90"/>
      <c r="T6" s="120"/>
      <c r="U6" s="85"/>
      <c r="V6" s="85"/>
      <c r="W6" s="92"/>
      <c r="X6" s="87"/>
    </row>
    <row r="7" spans="1:24" ht="25.5" customHeight="1" x14ac:dyDescent="0.3">
      <c r="A7" s="52" t="s">
        <v>34</v>
      </c>
      <c r="B7" s="53" t="s">
        <v>43</v>
      </c>
      <c r="C7" s="96"/>
      <c r="D7" s="99"/>
      <c r="E7" s="96"/>
      <c r="F7" s="99"/>
      <c r="G7" s="96"/>
      <c r="H7" s="99"/>
      <c r="I7" s="96"/>
      <c r="J7" s="99"/>
      <c r="K7" s="96"/>
      <c r="L7" s="104"/>
      <c r="M7" s="96"/>
      <c r="N7" s="104"/>
      <c r="O7" s="110"/>
      <c r="P7" s="118"/>
      <c r="Q7" s="88"/>
      <c r="R7" s="88"/>
      <c r="S7" s="90"/>
      <c r="T7" s="120"/>
      <c r="U7" s="85"/>
      <c r="V7" s="85"/>
      <c r="W7" s="92"/>
      <c r="X7" s="87"/>
    </row>
    <row r="8" spans="1:24" ht="25.5" customHeight="1" x14ac:dyDescent="0.3">
      <c r="A8" s="52" t="s">
        <v>35</v>
      </c>
      <c r="B8" s="53" t="s">
        <v>37</v>
      </c>
      <c r="C8" s="96"/>
      <c r="D8" s="99"/>
      <c r="E8" s="96"/>
      <c r="F8" s="99"/>
      <c r="G8" s="96"/>
      <c r="H8" s="99"/>
      <c r="I8" s="96"/>
      <c r="J8" s="99"/>
      <c r="K8" s="96"/>
      <c r="L8" s="104"/>
      <c r="M8" s="96"/>
      <c r="N8" s="104"/>
      <c r="O8" s="110"/>
      <c r="P8" s="118"/>
      <c r="Q8" s="88"/>
      <c r="R8" s="88"/>
      <c r="S8" s="90"/>
      <c r="T8" s="120"/>
      <c r="U8" s="85"/>
      <c r="V8" s="85"/>
      <c r="W8" s="92"/>
      <c r="X8" s="87"/>
    </row>
    <row r="9" spans="1:24" ht="25.5" customHeight="1" x14ac:dyDescent="0.3">
      <c r="A9" s="52" t="s">
        <v>36</v>
      </c>
      <c r="B9" s="15" t="s">
        <v>38</v>
      </c>
      <c r="C9" s="96"/>
      <c r="D9" s="99"/>
      <c r="E9" s="96"/>
      <c r="F9" s="99"/>
      <c r="G9" s="96"/>
      <c r="H9" s="99"/>
      <c r="I9" s="96"/>
      <c r="J9" s="99"/>
      <c r="K9" s="96"/>
      <c r="L9" s="104"/>
      <c r="M9" s="96"/>
      <c r="N9" s="104"/>
      <c r="O9" s="110"/>
      <c r="P9" s="118"/>
      <c r="Q9" s="88"/>
      <c r="R9" s="88"/>
      <c r="S9" s="90"/>
      <c r="T9" s="120"/>
      <c r="U9" s="85"/>
      <c r="V9" s="85"/>
      <c r="W9" s="92"/>
      <c r="X9" s="87"/>
    </row>
    <row r="10" spans="1:24" ht="20.25" x14ac:dyDescent="0.3">
      <c r="A10" s="93" t="s">
        <v>30</v>
      </c>
      <c r="B10" s="94"/>
      <c r="C10" s="97"/>
      <c r="D10" s="100"/>
      <c r="E10" s="97"/>
      <c r="F10" s="100"/>
      <c r="G10" s="97"/>
      <c r="H10" s="100"/>
      <c r="I10" s="97"/>
      <c r="J10" s="100"/>
      <c r="K10" s="97"/>
      <c r="L10" s="105"/>
      <c r="M10" s="97"/>
      <c r="N10" s="105"/>
      <c r="O10" s="110"/>
      <c r="P10" s="118"/>
      <c r="Q10" s="88"/>
      <c r="R10" s="88"/>
      <c r="S10" s="90"/>
      <c r="T10" s="120"/>
      <c r="U10" s="85"/>
      <c r="V10" s="85"/>
      <c r="W10" s="92"/>
      <c r="X10" s="87"/>
    </row>
    <row r="11" spans="1:24" s="10" customFormat="1" ht="30.75" customHeight="1" thickBot="1" x14ac:dyDescent="0.4">
      <c r="A11" s="40" t="s">
        <v>14</v>
      </c>
      <c r="B11" s="41" t="s">
        <v>15</v>
      </c>
      <c r="C11" s="70" t="s">
        <v>16</v>
      </c>
      <c r="D11" s="71">
        <v>10</v>
      </c>
      <c r="E11" s="70" t="s">
        <v>16</v>
      </c>
      <c r="F11" s="71">
        <v>5</v>
      </c>
      <c r="G11" s="70" t="s">
        <v>16</v>
      </c>
      <c r="H11" s="71"/>
      <c r="I11" s="70" t="s">
        <v>16</v>
      </c>
      <c r="J11" s="71"/>
      <c r="K11" s="70" t="s">
        <v>16</v>
      </c>
      <c r="L11" s="71"/>
      <c r="M11" s="70" t="s">
        <v>16</v>
      </c>
      <c r="N11" s="71"/>
      <c r="O11" s="110"/>
      <c r="P11" s="118"/>
      <c r="Q11" s="89"/>
      <c r="R11" s="89"/>
      <c r="S11" s="91"/>
      <c r="T11" s="120"/>
      <c r="U11" s="86"/>
      <c r="V11" s="86"/>
      <c r="W11" s="92"/>
      <c r="X11" s="87"/>
    </row>
    <row r="12" spans="1:24" s="12" customFormat="1" ht="59.25" customHeight="1" thickBot="1" x14ac:dyDescent="0.35">
      <c r="A12" s="66">
        <v>1</v>
      </c>
      <c r="B12" s="78" t="s">
        <v>148</v>
      </c>
      <c r="C12" s="30"/>
      <c r="D12" s="31">
        <f t="shared" ref="D12:D47" si="0">N(C12)*($D$11)/100</f>
        <v>0</v>
      </c>
      <c r="E12" s="30"/>
      <c r="F12" s="31">
        <f t="shared" ref="F12:F47" si="1">N(E12)*($F$11)/100</f>
        <v>0</v>
      </c>
      <c r="G12" s="30"/>
      <c r="H12" s="31">
        <f t="shared" ref="H12:H47" si="2">N(G12)*($H$11)/100</f>
        <v>0</v>
      </c>
      <c r="I12" s="30"/>
      <c r="J12" s="31">
        <f t="shared" ref="J12:J47" si="3">N(I12)*($J$11)/100</f>
        <v>0</v>
      </c>
      <c r="K12" s="30"/>
      <c r="L12" s="31">
        <f t="shared" ref="L12:L47" si="4">N(K12)*($L$11)/100</f>
        <v>0</v>
      </c>
      <c r="M12" s="30"/>
      <c r="N12" s="31">
        <f>N(M12)*($N$11)/100</f>
        <v>0</v>
      </c>
      <c r="O12" s="42">
        <f>SUM(D12,F12,H12,J12,L12,N12)</f>
        <v>0</v>
      </c>
      <c r="P12" s="50"/>
      <c r="Q12" s="37"/>
      <c r="R12" s="37"/>
      <c r="S12" s="36">
        <f>SUM(IFERROR(VALUE(SUBSTITUTE(P12,".",",")), N(P12)),IFERROR(VALUE(SUBSTITUTE(Q12,".",",")), N(Q12)),IFERROR(VALUE(SUBSTITUTE(R12,".",",")), N(R12)))</f>
        <v>0</v>
      </c>
      <c r="T12" s="43">
        <f>SUM(O12,S12)</f>
        <v>0</v>
      </c>
      <c r="U12" s="67">
        <f>T12</f>
        <v>0</v>
      </c>
      <c r="V12" s="45"/>
      <c r="W12" s="83" cm="1">
        <f t="array" ref="W12">TRANSPOSE('ASISTENCIA C'!AI9)</f>
        <v>4</v>
      </c>
      <c r="X12" s="33"/>
    </row>
    <row r="13" spans="1:24" s="12" customFormat="1" ht="59.25" customHeight="1" thickBot="1" x14ac:dyDescent="0.35">
      <c r="A13" s="66">
        <f t="shared" ref="A13:A47" si="5">IF(B13&lt;&gt;"",A12 + 1, "")</f>
        <v>2</v>
      </c>
      <c r="B13" s="79" t="s">
        <v>149</v>
      </c>
      <c r="C13" s="30"/>
      <c r="D13" s="31">
        <f t="shared" si="0"/>
        <v>0</v>
      </c>
      <c r="E13" s="30"/>
      <c r="F13" s="31">
        <f t="shared" si="1"/>
        <v>0</v>
      </c>
      <c r="G13" s="30"/>
      <c r="H13" s="31">
        <f t="shared" si="2"/>
        <v>0</v>
      </c>
      <c r="I13" s="30"/>
      <c r="J13" s="31">
        <f t="shared" si="3"/>
        <v>0</v>
      </c>
      <c r="K13" s="30"/>
      <c r="L13" s="31">
        <f t="shared" si="4"/>
        <v>0</v>
      </c>
      <c r="M13" s="30"/>
      <c r="N13" s="31">
        <f t="shared" ref="N13:N47" si="6">N(M13)*($N$11)/100</f>
        <v>0</v>
      </c>
      <c r="O13" s="42">
        <f t="shared" ref="O13:O47" si="7">SUM(D13,F13,H13,J13,L13,N13)</f>
        <v>0</v>
      </c>
      <c r="P13" s="50"/>
      <c r="Q13" s="39"/>
      <c r="R13" s="39"/>
      <c r="S13" s="36">
        <f t="shared" ref="S13:S47" si="8">SUM(IFERROR(VALUE(SUBSTITUTE(P13,".",",")), N(P13)),IFERROR(VALUE(SUBSTITUTE(Q13,".",",")), N(Q13)),IFERROR(VALUE(SUBSTITUTE(R13,".",",")), N(R13)))</f>
        <v>0</v>
      </c>
      <c r="T13" s="43">
        <f t="shared" ref="T13:T47" si="9">SUM(O13,S13)</f>
        <v>0</v>
      </c>
      <c r="U13" s="67">
        <f t="shared" ref="U13:U47" si="10">T13</f>
        <v>0</v>
      </c>
      <c r="V13" s="45"/>
      <c r="W13" s="83" cm="1">
        <f t="array" ref="W13">TRANSPOSE('ASISTENCIA C'!AI10)</f>
        <v>0</v>
      </c>
      <c r="X13" s="33"/>
    </row>
    <row r="14" spans="1:24" s="12" customFormat="1" ht="59.25" customHeight="1" thickBot="1" x14ac:dyDescent="0.35">
      <c r="A14" s="66">
        <f t="shared" si="5"/>
        <v>3</v>
      </c>
      <c r="B14" s="79" t="s">
        <v>150</v>
      </c>
      <c r="C14" s="30"/>
      <c r="D14" s="31">
        <f t="shared" si="0"/>
        <v>0</v>
      </c>
      <c r="E14" s="30"/>
      <c r="F14" s="31">
        <f t="shared" si="1"/>
        <v>0</v>
      </c>
      <c r="G14" s="30"/>
      <c r="H14" s="31">
        <f t="shared" si="2"/>
        <v>0</v>
      </c>
      <c r="I14" s="30"/>
      <c r="J14" s="31">
        <f t="shared" si="3"/>
        <v>0</v>
      </c>
      <c r="K14" s="30"/>
      <c r="L14" s="31">
        <f t="shared" si="4"/>
        <v>0</v>
      </c>
      <c r="M14" s="30"/>
      <c r="N14" s="31">
        <f t="shared" si="6"/>
        <v>0</v>
      </c>
      <c r="O14" s="42">
        <f t="shared" si="7"/>
        <v>0</v>
      </c>
      <c r="P14" s="50"/>
      <c r="Q14" s="39"/>
      <c r="R14" s="37"/>
      <c r="S14" s="36">
        <f t="shared" si="8"/>
        <v>0</v>
      </c>
      <c r="T14" s="43">
        <f t="shared" si="9"/>
        <v>0</v>
      </c>
      <c r="U14" s="67">
        <f t="shared" si="10"/>
        <v>0</v>
      </c>
      <c r="V14" s="45"/>
      <c r="W14" s="83" cm="1">
        <f t="array" ref="W14">TRANSPOSE('ASISTENCIA C'!AI11)</f>
        <v>0</v>
      </c>
      <c r="X14" s="33"/>
    </row>
    <row r="15" spans="1:24" s="12" customFormat="1" ht="59.25" customHeight="1" thickBot="1" x14ac:dyDescent="0.35">
      <c r="A15" s="66">
        <f t="shared" si="5"/>
        <v>4</v>
      </c>
      <c r="B15" s="79" t="s">
        <v>151</v>
      </c>
      <c r="C15" s="30"/>
      <c r="D15" s="31">
        <f t="shared" si="0"/>
        <v>0</v>
      </c>
      <c r="E15" s="30"/>
      <c r="F15" s="31">
        <f t="shared" si="1"/>
        <v>0</v>
      </c>
      <c r="G15" s="30"/>
      <c r="H15" s="31">
        <f t="shared" si="2"/>
        <v>0</v>
      </c>
      <c r="I15" s="30"/>
      <c r="J15" s="31">
        <f t="shared" si="3"/>
        <v>0</v>
      </c>
      <c r="K15" s="30"/>
      <c r="L15" s="31">
        <f t="shared" si="4"/>
        <v>0</v>
      </c>
      <c r="M15" s="30"/>
      <c r="N15" s="31">
        <f t="shared" si="6"/>
        <v>0</v>
      </c>
      <c r="O15" s="42">
        <f t="shared" si="7"/>
        <v>0</v>
      </c>
      <c r="P15" s="50"/>
      <c r="Q15" s="39"/>
      <c r="R15" s="39"/>
      <c r="S15" s="36">
        <f t="shared" si="8"/>
        <v>0</v>
      </c>
      <c r="T15" s="43">
        <f t="shared" si="9"/>
        <v>0</v>
      </c>
      <c r="U15" s="67">
        <f t="shared" si="10"/>
        <v>0</v>
      </c>
      <c r="V15" s="45"/>
      <c r="W15" s="83" cm="1">
        <f t="array" ref="W15">TRANSPOSE('ASISTENCIA C'!AI12)</f>
        <v>0</v>
      </c>
      <c r="X15" s="33"/>
    </row>
    <row r="16" spans="1:24" s="12" customFormat="1" ht="59.25" customHeight="1" thickBot="1" x14ac:dyDescent="0.35">
      <c r="A16" s="66">
        <f t="shared" si="5"/>
        <v>5</v>
      </c>
      <c r="B16" s="79" t="s">
        <v>152</v>
      </c>
      <c r="C16" s="30"/>
      <c r="D16" s="31">
        <f t="shared" si="0"/>
        <v>0</v>
      </c>
      <c r="E16" s="30"/>
      <c r="F16" s="31">
        <f t="shared" si="1"/>
        <v>0</v>
      </c>
      <c r="G16" s="30"/>
      <c r="H16" s="31">
        <f t="shared" si="2"/>
        <v>0</v>
      </c>
      <c r="I16" s="30"/>
      <c r="J16" s="31">
        <f t="shared" si="3"/>
        <v>0</v>
      </c>
      <c r="K16" s="30"/>
      <c r="L16" s="31">
        <f t="shared" si="4"/>
        <v>0</v>
      </c>
      <c r="M16" s="30"/>
      <c r="N16" s="31">
        <f t="shared" si="6"/>
        <v>0</v>
      </c>
      <c r="O16" s="42">
        <f t="shared" si="7"/>
        <v>0</v>
      </c>
      <c r="P16" s="50"/>
      <c r="Q16" s="39"/>
      <c r="R16" s="39"/>
      <c r="S16" s="36">
        <f t="shared" si="8"/>
        <v>0</v>
      </c>
      <c r="T16" s="43">
        <f t="shared" si="9"/>
        <v>0</v>
      </c>
      <c r="U16" s="67">
        <f t="shared" si="10"/>
        <v>0</v>
      </c>
      <c r="V16" s="45"/>
      <c r="W16" s="83" cm="1">
        <f t="array" ref="W16">TRANSPOSE('ASISTENCIA C'!AI13)</f>
        <v>0</v>
      </c>
      <c r="X16" s="33"/>
    </row>
    <row r="17" spans="1:24" s="12" customFormat="1" ht="59.25" customHeight="1" thickBot="1" x14ac:dyDescent="0.35">
      <c r="A17" s="66">
        <f t="shared" si="5"/>
        <v>6</v>
      </c>
      <c r="B17" s="79" t="s">
        <v>153</v>
      </c>
      <c r="C17" s="30"/>
      <c r="D17" s="31">
        <f t="shared" si="0"/>
        <v>0</v>
      </c>
      <c r="E17" s="30"/>
      <c r="F17" s="31">
        <f t="shared" si="1"/>
        <v>0</v>
      </c>
      <c r="G17" s="30"/>
      <c r="H17" s="31">
        <f t="shared" si="2"/>
        <v>0</v>
      </c>
      <c r="I17" s="30"/>
      <c r="J17" s="31">
        <f t="shared" si="3"/>
        <v>0</v>
      </c>
      <c r="K17" s="30"/>
      <c r="L17" s="31">
        <f t="shared" si="4"/>
        <v>0</v>
      </c>
      <c r="M17" s="30"/>
      <c r="N17" s="31">
        <f t="shared" si="6"/>
        <v>0</v>
      </c>
      <c r="O17" s="42">
        <f t="shared" si="7"/>
        <v>0</v>
      </c>
      <c r="P17" s="50"/>
      <c r="Q17" s="39"/>
      <c r="R17" s="39"/>
      <c r="S17" s="36">
        <f t="shared" si="8"/>
        <v>0</v>
      </c>
      <c r="T17" s="43">
        <f t="shared" si="9"/>
        <v>0</v>
      </c>
      <c r="U17" s="67">
        <f t="shared" si="10"/>
        <v>0</v>
      </c>
      <c r="V17" s="45"/>
      <c r="W17" s="83" cm="1">
        <f t="array" ref="W17">TRANSPOSE('ASISTENCIA C'!AI14)</f>
        <v>0</v>
      </c>
      <c r="X17" s="33"/>
    </row>
    <row r="18" spans="1:24" s="12" customFormat="1" ht="59.25" customHeight="1" thickBot="1" x14ac:dyDescent="0.35">
      <c r="A18" s="66">
        <f t="shared" si="5"/>
        <v>7</v>
      </c>
      <c r="B18" s="79" t="s">
        <v>154</v>
      </c>
      <c r="C18" s="30"/>
      <c r="D18" s="31">
        <f t="shared" si="0"/>
        <v>0</v>
      </c>
      <c r="E18" s="30"/>
      <c r="F18" s="31">
        <f t="shared" si="1"/>
        <v>0</v>
      </c>
      <c r="G18" s="30"/>
      <c r="H18" s="31">
        <f t="shared" si="2"/>
        <v>0</v>
      </c>
      <c r="I18" s="30"/>
      <c r="J18" s="31">
        <f t="shared" si="3"/>
        <v>0</v>
      </c>
      <c r="K18" s="30"/>
      <c r="L18" s="31">
        <f t="shared" si="4"/>
        <v>0</v>
      </c>
      <c r="M18" s="30"/>
      <c r="N18" s="31">
        <f t="shared" si="6"/>
        <v>0</v>
      </c>
      <c r="O18" s="42">
        <f t="shared" si="7"/>
        <v>0</v>
      </c>
      <c r="P18" s="50"/>
      <c r="Q18" s="39"/>
      <c r="R18" s="39"/>
      <c r="S18" s="36">
        <f t="shared" si="8"/>
        <v>0</v>
      </c>
      <c r="T18" s="43">
        <f t="shared" si="9"/>
        <v>0</v>
      </c>
      <c r="U18" s="67">
        <f t="shared" si="10"/>
        <v>0</v>
      </c>
      <c r="V18" s="45"/>
      <c r="W18" s="83" cm="1">
        <f t="array" ref="W18">TRANSPOSE('ASISTENCIA C'!AI15)</f>
        <v>0</v>
      </c>
      <c r="X18" s="33"/>
    </row>
    <row r="19" spans="1:24" s="12" customFormat="1" ht="59.25" customHeight="1" thickBot="1" x14ac:dyDescent="0.35">
      <c r="A19" s="66">
        <f t="shared" si="5"/>
        <v>8</v>
      </c>
      <c r="B19" s="79" t="s">
        <v>155</v>
      </c>
      <c r="C19" s="30"/>
      <c r="D19" s="31">
        <f t="shared" si="0"/>
        <v>0</v>
      </c>
      <c r="E19" s="30"/>
      <c r="F19" s="31">
        <f t="shared" si="1"/>
        <v>0</v>
      </c>
      <c r="G19" s="30"/>
      <c r="H19" s="31">
        <f t="shared" si="2"/>
        <v>0</v>
      </c>
      <c r="I19" s="30"/>
      <c r="J19" s="31">
        <f t="shared" si="3"/>
        <v>0</v>
      </c>
      <c r="K19" s="30"/>
      <c r="L19" s="31">
        <f t="shared" si="4"/>
        <v>0</v>
      </c>
      <c r="M19" s="30"/>
      <c r="N19" s="31">
        <f t="shared" si="6"/>
        <v>0</v>
      </c>
      <c r="O19" s="42">
        <f t="shared" si="7"/>
        <v>0</v>
      </c>
      <c r="P19" s="50"/>
      <c r="Q19" s="39"/>
      <c r="R19" s="39"/>
      <c r="S19" s="36">
        <f t="shared" si="8"/>
        <v>0</v>
      </c>
      <c r="T19" s="43">
        <f t="shared" si="9"/>
        <v>0</v>
      </c>
      <c r="U19" s="67">
        <f t="shared" si="10"/>
        <v>0</v>
      </c>
      <c r="V19" s="45"/>
      <c r="W19" s="83" cm="1">
        <f t="array" ref="W19">TRANSPOSE('ASISTENCIA C'!AI16)</f>
        <v>0</v>
      </c>
      <c r="X19" s="33"/>
    </row>
    <row r="20" spans="1:24" s="12" customFormat="1" ht="59.25" customHeight="1" thickBot="1" x14ac:dyDescent="0.35">
      <c r="A20" s="66">
        <f t="shared" si="5"/>
        <v>9</v>
      </c>
      <c r="B20" s="79" t="s">
        <v>156</v>
      </c>
      <c r="C20" s="30"/>
      <c r="D20" s="31">
        <f t="shared" si="0"/>
        <v>0</v>
      </c>
      <c r="E20" s="30"/>
      <c r="F20" s="31">
        <f t="shared" si="1"/>
        <v>0</v>
      </c>
      <c r="G20" s="30"/>
      <c r="H20" s="31">
        <f t="shared" si="2"/>
        <v>0</v>
      </c>
      <c r="I20" s="30"/>
      <c r="J20" s="31">
        <f t="shared" si="3"/>
        <v>0</v>
      </c>
      <c r="K20" s="30"/>
      <c r="L20" s="31">
        <f t="shared" si="4"/>
        <v>0</v>
      </c>
      <c r="M20" s="30"/>
      <c r="N20" s="31">
        <f t="shared" si="6"/>
        <v>0</v>
      </c>
      <c r="O20" s="42">
        <f t="shared" si="7"/>
        <v>0</v>
      </c>
      <c r="P20" s="50"/>
      <c r="Q20" s="39"/>
      <c r="R20" s="39"/>
      <c r="S20" s="36">
        <f t="shared" si="8"/>
        <v>0</v>
      </c>
      <c r="T20" s="43">
        <f t="shared" si="9"/>
        <v>0</v>
      </c>
      <c r="U20" s="67">
        <f t="shared" si="10"/>
        <v>0</v>
      </c>
      <c r="V20" s="45"/>
      <c r="W20" s="83" cm="1">
        <f t="array" ref="W20">TRANSPOSE('ASISTENCIA C'!AI17)</f>
        <v>0</v>
      </c>
      <c r="X20" s="33"/>
    </row>
    <row r="21" spans="1:24" s="12" customFormat="1" ht="59.25" customHeight="1" thickBot="1" x14ac:dyDescent="0.35">
      <c r="A21" s="66">
        <f t="shared" si="5"/>
        <v>10</v>
      </c>
      <c r="B21" s="79" t="s">
        <v>157</v>
      </c>
      <c r="C21" s="30"/>
      <c r="D21" s="31">
        <f t="shared" si="0"/>
        <v>0</v>
      </c>
      <c r="E21" s="30"/>
      <c r="F21" s="31">
        <f t="shared" si="1"/>
        <v>0</v>
      </c>
      <c r="G21" s="30"/>
      <c r="H21" s="31">
        <f t="shared" si="2"/>
        <v>0</v>
      </c>
      <c r="I21" s="30"/>
      <c r="J21" s="31">
        <f t="shared" si="3"/>
        <v>0</v>
      </c>
      <c r="K21" s="30"/>
      <c r="L21" s="31">
        <f t="shared" si="4"/>
        <v>0</v>
      </c>
      <c r="M21" s="30"/>
      <c r="N21" s="31">
        <f t="shared" si="6"/>
        <v>0</v>
      </c>
      <c r="O21" s="42">
        <f t="shared" si="7"/>
        <v>0</v>
      </c>
      <c r="P21" s="50"/>
      <c r="Q21" s="39"/>
      <c r="R21" s="39"/>
      <c r="S21" s="36">
        <f t="shared" si="8"/>
        <v>0</v>
      </c>
      <c r="T21" s="43">
        <f t="shared" si="9"/>
        <v>0</v>
      </c>
      <c r="U21" s="67">
        <f t="shared" si="10"/>
        <v>0</v>
      </c>
      <c r="V21" s="45"/>
      <c r="W21" s="83" cm="1">
        <f t="array" ref="W21">TRANSPOSE('ASISTENCIA C'!AI18)</f>
        <v>0</v>
      </c>
      <c r="X21" s="33"/>
    </row>
    <row r="22" spans="1:24" s="12" customFormat="1" ht="59.25" customHeight="1" thickBot="1" x14ac:dyDescent="0.35">
      <c r="A22" s="66">
        <f t="shared" si="5"/>
        <v>11</v>
      </c>
      <c r="B22" s="79" t="s">
        <v>158</v>
      </c>
      <c r="C22" s="30"/>
      <c r="D22" s="31">
        <f t="shared" si="0"/>
        <v>0</v>
      </c>
      <c r="E22" s="30"/>
      <c r="F22" s="31">
        <f t="shared" si="1"/>
        <v>0</v>
      </c>
      <c r="G22" s="30"/>
      <c r="H22" s="31">
        <f t="shared" si="2"/>
        <v>0</v>
      </c>
      <c r="I22" s="30"/>
      <c r="J22" s="31">
        <f t="shared" si="3"/>
        <v>0</v>
      </c>
      <c r="K22" s="30"/>
      <c r="L22" s="31">
        <f t="shared" si="4"/>
        <v>0</v>
      </c>
      <c r="M22" s="30"/>
      <c r="N22" s="31">
        <f t="shared" si="6"/>
        <v>0</v>
      </c>
      <c r="O22" s="42">
        <f t="shared" si="7"/>
        <v>0</v>
      </c>
      <c r="P22" s="50"/>
      <c r="Q22" s="39"/>
      <c r="R22" s="39"/>
      <c r="S22" s="36">
        <f t="shared" si="8"/>
        <v>0</v>
      </c>
      <c r="T22" s="43">
        <f t="shared" si="9"/>
        <v>0</v>
      </c>
      <c r="U22" s="67">
        <f t="shared" si="10"/>
        <v>0</v>
      </c>
      <c r="V22" s="45"/>
      <c r="W22" s="83" cm="1">
        <f t="array" ref="W22">TRANSPOSE('ASISTENCIA C'!AI19)</f>
        <v>0</v>
      </c>
      <c r="X22" s="33"/>
    </row>
    <row r="23" spans="1:24" s="12" customFormat="1" ht="59.25" customHeight="1" thickBot="1" x14ac:dyDescent="0.35">
      <c r="A23" s="66">
        <f t="shared" si="5"/>
        <v>12</v>
      </c>
      <c r="B23" s="79" t="s">
        <v>159</v>
      </c>
      <c r="C23" s="30"/>
      <c r="D23" s="31">
        <f t="shared" si="0"/>
        <v>0</v>
      </c>
      <c r="E23" s="30"/>
      <c r="F23" s="31">
        <f t="shared" si="1"/>
        <v>0</v>
      </c>
      <c r="G23" s="30"/>
      <c r="H23" s="31">
        <f t="shared" si="2"/>
        <v>0</v>
      </c>
      <c r="I23" s="30"/>
      <c r="J23" s="31">
        <f t="shared" si="3"/>
        <v>0</v>
      </c>
      <c r="K23" s="30"/>
      <c r="L23" s="31">
        <f t="shared" si="4"/>
        <v>0</v>
      </c>
      <c r="M23" s="30"/>
      <c r="N23" s="31">
        <f t="shared" si="6"/>
        <v>0</v>
      </c>
      <c r="O23" s="42">
        <f t="shared" si="7"/>
        <v>0</v>
      </c>
      <c r="P23" s="50"/>
      <c r="Q23" s="39"/>
      <c r="R23" s="39"/>
      <c r="S23" s="36">
        <f t="shared" si="8"/>
        <v>0</v>
      </c>
      <c r="T23" s="43">
        <f t="shared" si="9"/>
        <v>0</v>
      </c>
      <c r="U23" s="67">
        <f t="shared" si="10"/>
        <v>0</v>
      </c>
      <c r="V23" s="45"/>
      <c r="W23" s="83" cm="1">
        <f t="array" ref="W23">TRANSPOSE('ASISTENCIA C'!AI20)</f>
        <v>0</v>
      </c>
      <c r="X23" s="33"/>
    </row>
    <row r="24" spans="1:24" s="12" customFormat="1" ht="59.25" customHeight="1" thickBot="1" x14ac:dyDescent="0.35">
      <c r="A24" s="66">
        <f t="shared" si="5"/>
        <v>13</v>
      </c>
      <c r="B24" s="79" t="s">
        <v>160</v>
      </c>
      <c r="C24" s="30"/>
      <c r="D24" s="31">
        <f t="shared" si="0"/>
        <v>0</v>
      </c>
      <c r="E24" s="30"/>
      <c r="F24" s="31">
        <f t="shared" si="1"/>
        <v>0</v>
      </c>
      <c r="G24" s="30"/>
      <c r="H24" s="31">
        <f t="shared" si="2"/>
        <v>0</v>
      </c>
      <c r="I24" s="30"/>
      <c r="J24" s="31">
        <f t="shared" si="3"/>
        <v>0</v>
      </c>
      <c r="K24" s="30"/>
      <c r="L24" s="31">
        <f t="shared" si="4"/>
        <v>0</v>
      </c>
      <c r="M24" s="30"/>
      <c r="N24" s="31">
        <f t="shared" si="6"/>
        <v>0</v>
      </c>
      <c r="O24" s="42">
        <f t="shared" si="7"/>
        <v>0</v>
      </c>
      <c r="P24" s="50"/>
      <c r="Q24" s="39"/>
      <c r="R24" s="39"/>
      <c r="S24" s="36">
        <f t="shared" si="8"/>
        <v>0</v>
      </c>
      <c r="T24" s="43">
        <f t="shared" si="9"/>
        <v>0</v>
      </c>
      <c r="U24" s="67">
        <f t="shared" si="10"/>
        <v>0</v>
      </c>
      <c r="V24" s="45"/>
      <c r="W24" s="83" cm="1">
        <f t="array" ref="W24">TRANSPOSE('ASISTENCIA C'!AI21)</f>
        <v>0</v>
      </c>
      <c r="X24" s="33"/>
    </row>
    <row r="25" spans="1:24" s="12" customFormat="1" ht="59.25" customHeight="1" thickBot="1" x14ac:dyDescent="0.35">
      <c r="A25" s="66">
        <f t="shared" si="5"/>
        <v>14</v>
      </c>
      <c r="B25" s="79" t="s">
        <v>161</v>
      </c>
      <c r="C25" s="30"/>
      <c r="D25" s="31">
        <f t="shared" si="0"/>
        <v>0</v>
      </c>
      <c r="E25" s="30"/>
      <c r="F25" s="31">
        <f t="shared" si="1"/>
        <v>0</v>
      </c>
      <c r="G25" s="30"/>
      <c r="H25" s="31">
        <f t="shared" si="2"/>
        <v>0</v>
      </c>
      <c r="I25" s="30"/>
      <c r="J25" s="31">
        <f t="shared" si="3"/>
        <v>0</v>
      </c>
      <c r="K25" s="30"/>
      <c r="L25" s="31">
        <f t="shared" si="4"/>
        <v>0</v>
      </c>
      <c r="M25" s="30"/>
      <c r="N25" s="31">
        <f t="shared" si="6"/>
        <v>0</v>
      </c>
      <c r="O25" s="42">
        <f t="shared" si="7"/>
        <v>0</v>
      </c>
      <c r="P25" s="50"/>
      <c r="Q25" s="39"/>
      <c r="R25" s="39"/>
      <c r="S25" s="36">
        <f t="shared" si="8"/>
        <v>0</v>
      </c>
      <c r="T25" s="43">
        <f t="shared" si="9"/>
        <v>0</v>
      </c>
      <c r="U25" s="67">
        <f t="shared" si="10"/>
        <v>0</v>
      </c>
      <c r="V25" s="45"/>
      <c r="W25" s="83" cm="1">
        <f t="array" ref="W25">TRANSPOSE('ASISTENCIA C'!AI22)</f>
        <v>0</v>
      </c>
      <c r="X25" s="33"/>
    </row>
    <row r="26" spans="1:24" s="12" customFormat="1" ht="59.25" customHeight="1" thickBot="1" x14ac:dyDescent="0.35">
      <c r="A26" s="66">
        <f t="shared" si="5"/>
        <v>15</v>
      </c>
      <c r="B26" s="79" t="s">
        <v>162</v>
      </c>
      <c r="C26" s="30"/>
      <c r="D26" s="31">
        <f t="shared" si="0"/>
        <v>0</v>
      </c>
      <c r="E26" s="30"/>
      <c r="F26" s="31">
        <f t="shared" si="1"/>
        <v>0</v>
      </c>
      <c r="G26" s="30"/>
      <c r="H26" s="31">
        <f t="shared" si="2"/>
        <v>0</v>
      </c>
      <c r="I26" s="30"/>
      <c r="J26" s="31">
        <f t="shared" si="3"/>
        <v>0</v>
      </c>
      <c r="K26" s="30"/>
      <c r="L26" s="31">
        <f t="shared" si="4"/>
        <v>0</v>
      </c>
      <c r="M26" s="30"/>
      <c r="N26" s="31">
        <f t="shared" si="6"/>
        <v>0</v>
      </c>
      <c r="O26" s="42">
        <f t="shared" si="7"/>
        <v>0</v>
      </c>
      <c r="P26" s="50"/>
      <c r="Q26" s="39"/>
      <c r="R26" s="39"/>
      <c r="S26" s="36">
        <f t="shared" si="8"/>
        <v>0</v>
      </c>
      <c r="T26" s="43">
        <f t="shared" si="9"/>
        <v>0</v>
      </c>
      <c r="U26" s="67">
        <f t="shared" si="10"/>
        <v>0</v>
      </c>
      <c r="V26" s="45"/>
      <c r="W26" s="83" cm="1">
        <f t="array" ref="W26">TRANSPOSE('ASISTENCIA C'!AI23)</f>
        <v>0</v>
      </c>
      <c r="X26" s="33"/>
    </row>
    <row r="27" spans="1:24" s="12" customFormat="1" ht="59.25" customHeight="1" thickBot="1" x14ac:dyDescent="0.35">
      <c r="A27" s="66">
        <f t="shared" si="5"/>
        <v>16</v>
      </c>
      <c r="B27" s="79" t="s">
        <v>163</v>
      </c>
      <c r="C27" s="30"/>
      <c r="D27" s="31">
        <f t="shared" si="0"/>
        <v>0</v>
      </c>
      <c r="E27" s="30"/>
      <c r="F27" s="31">
        <f t="shared" si="1"/>
        <v>0</v>
      </c>
      <c r="G27" s="30"/>
      <c r="H27" s="31">
        <f t="shared" si="2"/>
        <v>0</v>
      </c>
      <c r="I27" s="30"/>
      <c r="J27" s="31">
        <f t="shared" si="3"/>
        <v>0</v>
      </c>
      <c r="K27" s="30"/>
      <c r="L27" s="31">
        <f t="shared" si="4"/>
        <v>0</v>
      </c>
      <c r="M27" s="30"/>
      <c r="N27" s="31">
        <f t="shared" si="6"/>
        <v>0</v>
      </c>
      <c r="O27" s="42">
        <f t="shared" si="7"/>
        <v>0</v>
      </c>
      <c r="P27" s="50"/>
      <c r="Q27" s="39"/>
      <c r="R27" s="39"/>
      <c r="S27" s="36">
        <f t="shared" si="8"/>
        <v>0</v>
      </c>
      <c r="T27" s="43">
        <f t="shared" si="9"/>
        <v>0</v>
      </c>
      <c r="U27" s="67">
        <f t="shared" si="10"/>
        <v>0</v>
      </c>
      <c r="V27" s="45"/>
      <c r="W27" s="83" cm="1">
        <f t="array" ref="W27">TRANSPOSE('ASISTENCIA C'!AI24)</f>
        <v>0</v>
      </c>
      <c r="X27" s="33"/>
    </row>
    <row r="28" spans="1:24" s="12" customFormat="1" ht="59.25" customHeight="1" thickBot="1" x14ac:dyDescent="0.35">
      <c r="A28" s="66">
        <f t="shared" si="5"/>
        <v>17</v>
      </c>
      <c r="B28" s="79" t="s">
        <v>164</v>
      </c>
      <c r="C28" s="30"/>
      <c r="D28" s="31">
        <f t="shared" si="0"/>
        <v>0</v>
      </c>
      <c r="E28" s="30"/>
      <c r="F28" s="31">
        <f t="shared" si="1"/>
        <v>0</v>
      </c>
      <c r="G28" s="30"/>
      <c r="H28" s="31">
        <f t="shared" si="2"/>
        <v>0</v>
      </c>
      <c r="I28" s="30"/>
      <c r="J28" s="31">
        <f t="shared" si="3"/>
        <v>0</v>
      </c>
      <c r="K28" s="30"/>
      <c r="L28" s="31">
        <f t="shared" si="4"/>
        <v>0</v>
      </c>
      <c r="M28" s="30"/>
      <c r="N28" s="31">
        <f t="shared" si="6"/>
        <v>0</v>
      </c>
      <c r="O28" s="42">
        <f t="shared" si="7"/>
        <v>0</v>
      </c>
      <c r="P28" s="50"/>
      <c r="Q28" s="39"/>
      <c r="R28" s="39"/>
      <c r="S28" s="36">
        <f t="shared" si="8"/>
        <v>0</v>
      </c>
      <c r="T28" s="43">
        <f t="shared" si="9"/>
        <v>0</v>
      </c>
      <c r="U28" s="67">
        <f t="shared" si="10"/>
        <v>0</v>
      </c>
      <c r="V28" s="45"/>
      <c r="W28" s="83" cm="1">
        <f t="array" ref="W28">TRANSPOSE('ASISTENCIA C'!AI25)</f>
        <v>0</v>
      </c>
      <c r="X28" s="33"/>
    </row>
    <row r="29" spans="1:24" s="12" customFormat="1" ht="59.25" customHeight="1" thickBot="1" x14ac:dyDescent="0.35">
      <c r="A29" s="66">
        <f t="shared" si="5"/>
        <v>18</v>
      </c>
      <c r="B29" s="79" t="s">
        <v>165</v>
      </c>
      <c r="C29" s="30"/>
      <c r="D29" s="31">
        <f t="shared" si="0"/>
        <v>0</v>
      </c>
      <c r="E29" s="30"/>
      <c r="F29" s="31">
        <f t="shared" si="1"/>
        <v>0</v>
      </c>
      <c r="G29" s="30"/>
      <c r="H29" s="31">
        <f t="shared" si="2"/>
        <v>0</v>
      </c>
      <c r="I29" s="30"/>
      <c r="J29" s="31">
        <f t="shared" si="3"/>
        <v>0</v>
      </c>
      <c r="K29" s="30"/>
      <c r="L29" s="31">
        <f t="shared" si="4"/>
        <v>0</v>
      </c>
      <c r="M29" s="30"/>
      <c r="N29" s="31">
        <f t="shared" si="6"/>
        <v>0</v>
      </c>
      <c r="O29" s="42">
        <f t="shared" si="7"/>
        <v>0</v>
      </c>
      <c r="P29" s="50"/>
      <c r="Q29" s="39"/>
      <c r="R29" s="39"/>
      <c r="S29" s="36">
        <f t="shared" si="8"/>
        <v>0</v>
      </c>
      <c r="T29" s="43">
        <f t="shared" si="9"/>
        <v>0</v>
      </c>
      <c r="U29" s="67">
        <f t="shared" si="10"/>
        <v>0</v>
      </c>
      <c r="V29" s="45"/>
      <c r="W29" s="83" cm="1">
        <f t="array" ref="W29">TRANSPOSE('ASISTENCIA C'!AI26)</f>
        <v>0</v>
      </c>
      <c r="X29" s="33"/>
    </row>
    <row r="30" spans="1:24" s="12" customFormat="1" ht="59.25" customHeight="1" thickBot="1" x14ac:dyDescent="0.35">
      <c r="A30" s="66">
        <f t="shared" si="5"/>
        <v>19</v>
      </c>
      <c r="B30" s="79" t="s">
        <v>166</v>
      </c>
      <c r="C30" s="30"/>
      <c r="D30" s="31">
        <f t="shared" si="0"/>
        <v>0</v>
      </c>
      <c r="E30" s="30"/>
      <c r="F30" s="31">
        <f t="shared" si="1"/>
        <v>0</v>
      </c>
      <c r="G30" s="30"/>
      <c r="H30" s="31">
        <f t="shared" si="2"/>
        <v>0</v>
      </c>
      <c r="I30" s="30"/>
      <c r="J30" s="31">
        <f t="shared" si="3"/>
        <v>0</v>
      </c>
      <c r="K30" s="30"/>
      <c r="L30" s="31">
        <f t="shared" si="4"/>
        <v>0</v>
      </c>
      <c r="M30" s="30"/>
      <c r="N30" s="31">
        <f t="shared" si="6"/>
        <v>0</v>
      </c>
      <c r="O30" s="42">
        <f t="shared" si="7"/>
        <v>0</v>
      </c>
      <c r="P30" s="50"/>
      <c r="Q30" s="39"/>
      <c r="R30" s="39"/>
      <c r="S30" s="36">
        <f t="shared" si="8"/>
        <v>0</v>
      </c>
      <c r="T30" s="43">
        <f t="shared" si="9"/>
        <v>0</v>
      </c>
      <c r="U30" s="67">
        <f t="shared" si="10"/>
        <v>0</v>
      </c>
      <c r="V30" s="45"/>
      <c r="W30" s="83" cm="1">
        <f t="array" ref="W30">TRANSPOSE('ASISTENCIA C'!AI27)</f>
        <v>0</v>
      </c>
      <c r="X30" s="33"/>
    </row>
    <row r="31" spans="1:24" s="12" customFormat="1" ht="59.25" customHeight="1" thickBot="1" x14ac:dyDescent="0.35">
      <c r="A31" s="66">
        <f t="shared" si="5"/>
        <v>20</v>
      </c>
      <c r="B31" s="79" t="s">
        <v>167</v>
      </c>
      <c r="C31" s="30"/>
      <c r="D31" s="31">
        <f t="shared" si="0"/>
        <v>0</v>
      </c>
      <c r="E31" s="30"/>
      <c r="F31" s="31">
        <f t="shared" si="1"/>
        <v>0</v>
      </c>
      <c r="G31" s="30"/>
      <c r="H31" s="31">
        <f t="shared" si="2"/>
        <v>0</v>
      </c>
      <c r="I31" s="30"/>
      <c r="J31" s="31">
        <f t="shared" si="3"/>
        <v>0</v>
      </c>
      <c r="K31" s="30"/>
      <c r="L31" s="31">
        <f t="shared" si="4"/>
        <v>0</v>
      </c>
      <c r="M31" s="30"/>
      <c r="N31" s="31">
        <f t="shared" si="6"/>
        <v>0</v>
      </c>
      <c r="O31" s="42">
        <f t="shared" si="7"/>
        <v>0</v>
      </c>
      <c r="P31" s="50"/>
      <c r="Q31" s="39"/>
      <c r="R31" s="39"/>
      <c r="S31" s="36">
        <f t="shared" si="8"/>
        <v>0</v>
      </c>
      <c r="T31" s="43">
        <f t="shared" si="9"/>
        <v>0</v>
      </c>
      <c r="U31" s="67">
        <f t="shared" si="10"/>
        <v>0</v>
      </c>
      <c r="V31" s="45"/>
      <c r="W31" s="83" cm="1">
        <f t="array" ref="W31">TRANSPOSE('ASISTENCIA C'!AI28)</f>
        <v>0</v>
      </c>
      <c r="X31" s="33"/>
    </row>
    <row r="32" spans="1:24" s="12" customFormat="1" ht="59.25" customHeight="1" thickBot="1" x14ac:dyDescent="0.35">
      <c r="A32" s="66">
        <f t="shared" si="5"/>
        <v>21</v>
      </c>
      <c r="B32" s="79" t="s">
        <v>168</v>
      </c>
      <c r="C32" s="30"/>
      <c r="D32" s="31">
        <f t="shared" si="0"/>
        <v>0</v>
      </c>
      <c r="E32" s="30"/>
      <c r="F32" s="31">
        <f t="shared" si="1"/>
        <v>0</v>
      </c>
      <c r="G32" s="30"/>
      <c r="H32" s="31">
        <f t="shared" si="2"/>
        <v>0</v>
      </c>
      <c r="I32" s="30"/>
      <c r="J32" s="31">
        <f t="shared" si="3"/>
        <v>0</v>
      </c>
      <c r="K32" s="30"/>
      <c r="L32" s="31">
        <f t="shared" si="4"/>
        <v>0</v>
      </c>
      <c r="M32" s="30"/>
      <c r="N32" s="31">
        <f t="shared" si="6"/>
        <v>0</v>
      </c>
      <c r="O32" s="42">
        <f t="shared" si="7"/>
        <v>0</v>
      </c>
      <c r="P32" s="50"/>
      <c r="Q32" s="39"/>
      <c r="R32" s="39"/>
      <c r="S32" s="36">
        <f t="shared" si="8"/>
        <v>0</v>
      </c>
      <c r="T32" s="43">
        <f t="shared" si="9"/>
        <v>0</v>
      </c>
      <c r="U32" s="67">
        <f t="shared" si="10"/>
        <v>0</v>
      </c>
      <c r="V32" s="45"/>
      <c r="W32" s="83" cm="1">
        <f t="array" ref="W32">TRANSPOSE('ASISTENCIA C'!AI29)</f>
        <v>0</v>
      </c>
      <c r="X32" s="33"/>
    </row>
    <row r="33" spans="1:24" s="12" customFormat="1" ht="59.25" customHeight="1" thickBot="1" x14ac:dyDescent="0.35">
      <c r="A33" s="66">
        <f t="shared" si="5"/>
        <v>22</v>
      </c>
      <c r="B33" s="79" t="s">
        <v>169</v>
      </c>
      <c r="C33" s="30"/>
      <c r="D33" s="31">
        <f t="shared" si="0"/>
        <v>0</v>
      </c>
      <c r="E33" s="30"/>
      <c r="F33" s="31">
        <f t="shared" si="1"/>
        <v>0</v>
      </c>
      <c r="G33" s="30"/>
      <c r="H33" s="31">
        <f t="shared" si="2"/>
        <v>0</v>
      </c>
      <c r="I33" s="30"/>
      <c r="J33" s="31">
        <f t="shared" si="3"/>
        <v>0</v>
      </c>
      <c r="K33" s="30"/>
      <c r="L33" s="31">
        <f t="shared" si="4"/>
        <v>0</v>
      </c>
      <c r="M33" s="30"/>
      <c r="N33" s="31">
        <f t="shared" si="6"/>
        <v>0</v>
      </c>
      <c r="O33" s="42">
        <f t="shared" si="7"/>
        <v>0</v>
      </c>
      <c r="P33" s="50"/>
      <c r="Q33" s="39"/>
      <c r="R33" s="39"/>
      <c r="S33" s="36">
        <f t="shared" si="8"/>
        <v>0</v>
      </c>
      <c r="T33" s="43">
        <f t="shared" si="9"/>
        <v>0</v>
      </c>
      <c r="U33" s="67">
        <f t="shared" si="10"/>
        <v>0</v>
      </c>
      <c r="V33" s="45"/>
      <c r="W33" s="83" cm="1">
        <f t="array" ref="W33">TRANSPOSE('ASISTENCIA C'!AI30)</f>
        <v>0</v>
      </c>
      <c r="X33" s="33"/>
    </row>
    <row r="34" spans="1:24" s="12" customFormat="1" ht="59.25" customHeight="1" thickBot="1" x14ac:dyDescent="0.35">
      <c r="A34" s="66">
        <f t="shared" si="5"/>
        <v>23</v>
      </c>
      <c r="B34" s="79" t="s">
        <v>170</v>
      </c>
      <c r="C34" s="30"/>
      <c r="D34" s="31">
        <f t="shared" si="0"/>
        <v>0</v>
      </c>
      <c r="E34" s="30"/>
      <c r="F34" s="31">
        <f t="shared" si="1"/>
        <v>0</v>
      </c>
      <c r="G34" s="30"/>
      <c r="H34" s="31">
        <f t="shared" si="2"/>
        <v>0</v>
      </c>
      <c r="I34" s="30"/>
      <c r="J34" s="31">
        <f t="shared" si="3"/>
        <v>0</v>
      </c>
      <c r="K34" s="30"/>
      <c r="L34" s="31">
        <f t="shared" si="4"/>
        <v>0</v>
      </c>
      <c r="M34" s="30"/>
      <c r="N34" s="31">
        <f t="shared" si="6"/>
        <v>0</v>
      </c>
      <c r="O34" s="42">
        <f t="shared" si="7"/>
        <v>0</v>
      </c>
      <c r="P34" s="50"/>
      <c r="Q34" s="39"/>
      <c r="R34" s="39"/>
      <c r="S34" s="36">
        <f t="shared" si="8"/>
        <v>0</v>
      </c>
      <c r="T34" s="43">
        <f t="shared" si="9"/>
        <v>0</v>
      </c>
      <c r="U34" s="67">
        <f t="shared" si="10"/>
        <v>0</v>
      </c>
      <c r="V34" s="45"/>
      <c r="W34" s="83" cm="1">
        <f t="array" ref="W34">TRANSPOSE('ASISTENCIA C'!AI31)</f>
        <v>0</v>
      </c>
      <c r="X34" s="33"/>
    </row>
    <row r="35" spans="1:24" s="12" customFormat="1" ht="59.25" customHeight="1" thickBot="1" x14ac:dyDescent="0.35">
      <c r="A35" s="66">
        <f t="shared" si="5"/>
        <v>24</v>
      </c>
      <c r="B35" s="79" t="s">
        <v>171</v>
      </c>
      <c r="C35" s="30"/>
      <c r="D35" s="31">
        <f t="shared" si="0"/>
        <v>0</v>
      </c>
      <c r="E35" s="30"/>
      <c r="F35" s="31">
        <f t="shared" si="1"/>
        <v>0</v>
      </c>
      <c r="G35" s="30"/>
      <c r="H35" s="31">
        <f t="shared" si="2"/>
        <v>0</v>
      </c>
      <c r="I35" s="30"/>
      <c r="J35" s="31">
        <f t="shared" si="3"/>
        <v>0</v>
      </c>
      <c r="K35" s="30"/>
      <c r="L35" s="31">
        <f t="shared" si="4"/>
        <v>0</v>
      </c>
      <c r="M35" s="30"/>
      <c r="N35" s="31">
        <f t="shared" si="6"/>
        <v>0</v>
      </c>
      <c r="O35" s="42">
        <f t="shared" si="7"/>
        <v>0</v>
      </c>
      <c r="P35" s="50"/>
      <c r="Q35" s="39"/>
      <c r="R35" s="39"/>
      <c r="S35" s="36">
        <f t="shared" si="8"/>
        <v>0</v>
      </c>
      <c r="T35" s="43">
        <f t="shared" si="9"/>
        <v>0</v>
      </c>
      <c r="U35" s="67">
        <f t="shared" si="10"/>
        <v>0</v>
      </c>
      <c r="V35" s="45"/>
      <c r="W35" s="83" cm="1">
        <f t="array" ref="W35">TRANSPOSE('ASISTENCIA C'!AI32)</f>
        <v>0</v>
      </c>
      <c r="X35" s="33"/>
    </row>
    <row r="36" spans="1:24" s="12" customFormat="1" ht="59.25" customHeight="1" thickBot="1" x14ac:dyDescent="0.35">
      <c r="A36" s="66">
        <f t="shared" si="5"/>
        <v>25</v>
      </c>
      <c r="B36" s="79" t="s">
        <v>172</v>
      </c>
      <c r="C36" s="30"/>
      <c r="D36" s="31">
        <f t="shared" si="0"/>
        <v>0</v>
      </c>
      <c r="E36" s="30"/>
      <c r="F36" s="31">
        <f t="shared" si="1"/>
        <v>0</v>
      </c>
      <c r="G36" s="30"/>
      <c r="H36" s="31">
        <f t="shared" si="2"/>
        <v>0</v>
      </c>
      <c r="I36" s="30"/>
      <c r="J36" s="31">
        <f t="shared" si="3"/>
        <v>0</v>
      </c>
      <c r="K36" s="30"/>
      <c r="L36" s="31">
        <f t="shared" si="4"/>
        <v>0</v>
      </c>
      <c r="M36" s="30"/>
      <c r="N36" s="31">
        <f t="shared" si="6"/>
        <v>0</v>
      </c>
      <c r="O36" s="42">
        <f t="shared" si="7"/>
        <v>0</v>
      </c>
      <c r="P36" s="50"/>
      <c r="Q36" s="39"/>
      <c r="R36" s="39"/>
      <c r="S36" s="36">
        <f t="shared" si="8"/>
        <v>0</v>
      </c>
      <c r="T36" s="43">
        <f t="shared" si="9"/>
        <v>0</v>
      </c>
      <c r="U36" s="67">
        <f t="shared" si="10"/>
        <v>0</v>
      </c>
      <c r="V36" s="45"/>
      <c r="W36" s="83" cm="1">
        <f t="array" ref="W36">TRANSPOSE('ASISTENCIA C'!AI33)</f>
        <v>0</v>
      </c>
      <c r="X36" s="33"/>
    </row>
    <row r="37" spans="1:24" s="12" customFormat="1" ht="59.25" customHeight="1" thickBot="1" x14ac:dyDescent="0.35">
      <c r="A37" s="66">
        <f t="shared" si="5"/>
        <v>26</v>
      </c>
      <c r="B37" s="79" t="s">
        <v>173</v>
      </c>
      <c r="C37" s="30"/>
      <c r="D37" s="31">
        <f t="shared" si="0"/>
        <v>0</v>
      </c>
      <c r="E37" s="30"/>
      <c r="F37" s="31">
        <f t="shared" si="1"/>
        <v>0</v>
      </c>
      <c r="G37" s="30"/>
      <c r="H37" s="31">
        <f t="shared" si="2"/>
        <v>0</v>
      </c>
      <c r="I37" s="30"/>
      <c r="J37" s="31">
        <f t="shared" si="3"/>
        <v>0</v>
      </c>
      <c r="K37" s="30"/>
      <c r="L37" s="31">
        <f t="shared" si="4"/>
        <v>0</v>
      </c>
      <c r="M37" s="30"/>
      <c r="N37" s="31">
        <f t="shared" si="6"/>
        <v>0</v>
      </c>
      <c r="O37" s="42">
        <f t="shared" si="7"/>
        <v>0</v>
      </c>
      <c r="P37" s="50"/>
      <c r="Q37" s="39"/>
      <c r="R37" s="39"/>
      <c r="S37" s="36">
        <f t="shared" si="8"/>
        <v>0</v>
      </c>
      <c r="T37" s="43">
        <f t="shared" si="9"/>
        <v>0</v>
      </c>
      <c r="U37" s="67">
        <f t="shared" si="10"/>
        <v>0</v>
      </c>
      <c r="V37" s="45"/>
      <c r="W37" s="83" cm="1">
        <f t="array" ref="W37">TRANSPOSE('ASISTENCIA C'!AI34)</f>
        <v>0</v>
      </c>
      <c r="X37" s="33"/>
    </row>
    <row r="38" spans="1:24" s="12" customFormat="1" ht="59.25" customHeight="1" thickBot="1" x14ac:dyDescent="0.35">
      <c r="A38" s="66">
        <f t="shared" si="5"/>
        <v>27</v>
      </c>
      <c r="B38" s="79" t="s">
        <v>174</v>
      </c>
      <c r="C38" s="30"/>
      <c r="D38" s="31">
        <f t="shared" si="0"/>
        <v>0</v>
      </c>
      <c r="E38" s="30"/>
      <c r="F38" s="31">
        <f t="shared" si="1"/>
        <v>0</v>
      </c>
      <c r="G38" s="30"/>
      <c r="H38" s="31">
        <f t="shared" si="2"/>
        <v>0</v>
      </c>
      <c r="I38" s="30"/>
      <c r="J38" s="31">
        <f t="shared" si="3"/>
        <v>0</v>
      </c>
      <c r="K38" s="30"/>
      <c r="L38" s="31">
        <f t="shared" si="4"/>
        <v>0</v>
      </c>
      <c r="M38" s="30"/>
      <c r="N38" s="31">
        <f t="shared" si="6"/>
        <v>0</v>
      </c>
      <c r="O38" s="42">
        <f t="shared" si="7"/>
        <v>0</v>
      </c>
      <c r="P38" s="50"/>
      <c r="Q38" s="39"/>
      <c r="R38" s="39"/>
      <c r="S38" s="36">
        <f t="shared" si="8"/>
        <v>0</v>
      </c>
      <c r="T38" s="43">
        <f t="shared" si="9"/>
        <v>0</v>
      </c>
      <c r="U38" s="67">
        <f t="shared" si="10"/>
        <v>0</v>
      </c>
      <c r="V38" s="45"/>
      <c r="W38" s="83" cm="1">
        <f t="array" ref="W38">TRANSPOSE('ASISTENCIA C'!AI35)</f>
        <v>0</v>
      </c>
      <c r="X38" s="33"/>
    </row>
    <row r="39" spans="1:24" s="12" customFormat="1" ht="59.25" customHeight="1" thickBot="1" x14ac:dyDescent="0.35">
      <c r="A39" s="66">
        <f t="shared" si="5"/>
        <v>28</v>
      </c>
      <c r="B39" s="79" t="s">
        <v>175</v>
      </c>
      <c r="C39" s="30"/>
      <c r="D39" s="31">
        <f t="shared" si="0"/>
        <v>0</v>
      </c>
      <c r="E39" s="30"/>
      <c r="F39" s="31">
        <f t="shared" si="1"/>
        <v>0</v>
      </c>
      <c r="G39" s="30"/>
      <c r="H39" s="31">
        <f t="shared" si="2"/>
        <v>0</v>
      </c>
      <c r="I39" s="30"/>
      <c r="J39" s="31">
        <f t="shared" si="3"/>
        <v>0</v>
      </c>
      <c r="K39" s="30"/>
      <c r="L39" s="31">
        <f t="shared" si="4"/>
        <v>0</v>
      </c>
      <c r="M39" s="30"/>
      <c r="N39" s="31">
        <f t="shared" si="6"/>
        <v>0</v>
      </c>
      <c r="O39" s="42">
        <f t="shared" si="7"/>
        <v>0</v>
      </c>
      <c r="P39" s="50"/>
      <c r="Q39" s="39"/>
      <c r="R39" s="39"/>
      <c r="S39" s="36">
        <f t="shared" si="8"/>
        <v>0</v>
      </c>
      <c r="T39" s="43">
        <f t="shared" si="9"/>
        <v>0</v>
      </c>
      <c r="U39" s="67">
        <f t="shared" si="10"/>
        <v>0</v>
      </c>
      <c r="V39" s="45"/>
      <c r="W39" s="83" cm="1">
        <f t="array" ref="W39">TRANSPOSE('ASISTENCIA C'!AI36)</f>
        <v>0</v>
      </c>
      <c r="X39" s="33"/>
    </row>
    <row r="40" spans="1:24" s="12" customFormat="1" ht="59.25" customHeight="1" thickBot="1" x14ac:dyDescent="0.35">
      <c r="A40" s="66">
        <f t="shared" si="5"/>
        <v>29</v>
      </c>
      <c r="B40" s="79" t="s">
        <v>176</v>
      </c>
      <c r="C40" s="30"/>
      <c r="D40" s="31">
        <f t="shared" si="0"/>
        <v>0</v>
      </c>
      <c r="E40" s="30"/>
      <c r="F40" s="31">
        <f t="shared" si="1"/>
        <v>0</v>
      </c>
      <c r="G40" s="30"/>
      <c r="H40" s="31">
        <f t="shared" si="2"/>
        <v>0</v>
      </c>
      <c r="I40" s="30"/>
      <c r="J40" s="31">
        <f t="shared" si="3"/>
        <v>0</v>
      </c>
      <c r="K40" s="30"/>
      <c r="L40" s="31">
        <f t="shared" si="4"/>
        <v>0</v>
      </c>
      <c r="M40" s="30"/>
      <c r="N40" s="31">
        <f t="shared" si="6"/>
        <v>0</v>
      </c>
      <c r="O40" s="42">
        <f t="shared" si="7"/>
        <v>0</v>
      </c>
      <c r="P40" s="50"/>
      <c r="Q40" s="39"/>
      <c r="R40" s="39"/>
      <c r="S40" s="36">
        <f t="shared" si="8"/>
        <v>0</v>
      </c>
      <c r="T40" s="43">
        <f t="shared" si="9"/>
        <v>0</v>
      </c>
      <c r="U40" s="67">
        <f t="shared" si="10"/>
        <v>0</v>
      </c>
      <c r="V40" s="45"/>
      <c r="W40" s="83" cm="1">
        <f t="array" ref="W40">TRANSPOSE('ASISTENCIA C'!AI37)</f>
        <v>0</v>
      </c>
      <c r="X40" s="33"/>
    </row>
    <row r="41" spans="1:24" s="12" customFormat="1" ht="59.25" customHeight="1" thickBot="1" x14ac:dyDescent="0.35">
      <c r="A41" s="66">
        <f t="shared" si="5"/>
        <v>30</v>
      </c>
      <c r="B41" s="79" t="s">
        <v>177</v>
      </c>
      <c r="C41" s="30"/>
      <c r="D41" s="31">
        <f t="shared" si="0"/>
        <v>0</v>
      </c>
      <c r="E41" s="30"/>
      <c r="F41" s="31">
        <f t="shared" si="1"/>
        <v>0</v>
      </c>
      <c r="G41" s="30"/>
      <c r="H41" s="31">
        <f t="shared" si="2"/>
        <v>0</v>
      </c>
      <c r="I41" s="30"/>
      <c r="J41" s="31">
        <f t="shared" si="3"/>
        <v>0</v>
      </c>
      <c r="K41" s="30"/>
      <c r="L41" s="31">
        <f t="shared" si="4"/>
        <v>0</v>
      </c>
      <c r="M41" s="30"/>
      <c r="N41" s="31">
        <f t="shared" si="6"/>
        <v>0</v>
      </c>
      <c r="O41" s="42">
        <f t="shared" si="7"/>
        <v>0</v>
      </c>
      <c r="P41" s="50"/>
      <c r="Q41" s="39"/>
      <c r="R41" s="39"/>
      <c r="S41" s="36">
        <f t="shared" si="8"/>
        <v>0</v>
      </c>
      <c r="T41" s="43">
        <f t="shared" si="9"/>
        <v>0</v>
      </c>
      <c r="U41" s="67">
        <f t="shared" si="10"/>
        <v>0</v>
      </c>
      <c r="V41" s="45"/>
      <c r="W41" s="83" cm="1">
        <f t="array" ref="W41">TRANSPOSE('ASISTENCIA C'!AI38)</f>
        <v>0</v>
      </c>
      <c r="X41" s="33"/>
    </row>
    <row r="42" spans="1:24" s="12" customFormat="1" ht="59.25" customHeight="1" thickBot="1" x14ac:dyDescent="0.35">
      <c r="A42" s="66">
        <f t="shared" si="5"/>
        <v>31</v>
      </c>
      <c r="B42" s="79" t="s">
        <v>178</v>
      </c>
      <c r="C42" s="30"/>
      <c r="D42" s="31">
        <f t="shared" si="0"/>
        <v>0</v>
      </c>
      <c r="E42" s="30"/>
      <c r="F42" s="31">
        <f t="shared" si="1"/>
        <v>0</v>
      </c>
      <c r="G42" s="30"/>
      <c r="H42" s="31">
        <f t="shared" si="2"/>
        <v>0</v>
      </c>
      <c r="I42" s="30"/>
      <c r="J42" s="31">
        <f t="shared" si="3"/>
        <v>0</v>
      </c>
      <c r="K42" s="30"/>
      <c r="L42" s="31">
        <f t="shared" si="4"/>
        <v>0</v>
      </c>
      <c r="M42" s="30"/>
      <c r="N42" s="31">
        <f t="shared" si="6"/>
        <v>0</v>
      </c>
      <c r="O42" s="42">
        <f t="shared" si="7"/>
        <v>0</v>
      </c>
      <c r="P42" s="50"/>
      <c r="Q42" s="39"/>
      <c r="R42" s="39"/>
      <c r="S42" s="36">
        <f t="shared" si="8"/>
        <v>0</v>
      </c>
      <c r="T42" s="43">
        <f t="shared" si="9"/>
        <v>0</v>
      </c>
      <c r="U42" s="67">
        <f t="shared" si="10"/>
        <v>0</v>
      </c>
      <c r="V42" s="45"/>
      <c r="W42" s="83" cm="1">
        <f t="array" ref="W42">TRANSPOSE('ASISTENCIA C'!AI39)</f>
        <v>0</v>
      </c>
      <c r="X42" s="33"/>
    </row>
    <row r="43" spans="1:24" s="12" customFormat="1" ht="59.25" customHeight="1" thickBot="1" x14ac:dyDescent="0.35">
      <c r="A43" s="66">
        <f t="shared" si="5"/>
        <v>32</v>
      </c>
      <c r="B43" s="79" t="s">
        <v>179</v>
      </c>
      <c r="C43" s="30"/>
      <c r="D43" s="31">
        <f t="shared" si="0"/>
        <v>0</v>
      </c>
      <c r="E43" s="30"/>
      <c r="F43" s="31">
        <f t="shared" si="1"/>
        <v>0</v>
      </c>
      <c r="G43" s="30"/>
      <c r="H43" s="31">
        <f t="shared" si="2"/>
        <v>0</v>
      </c>
      <c r="I43" s="30"/>
      <c r="J43" s="31">
        <f t="shared" si="3"/>
        <v>0</v>
      </c>
      <c r="K43" s="30"/>
      <c r="L43" s="31">
        <f t="shared" si="4"/>
        <v>0</v>
      </c>
      <c r="M43" s="30"/>
      <c r="N43" s="31">
        <f t="shared" si="6"/>
        <v>0</v>
      </c>
      <c r="O43" s="42">
        <f t="shared" si="7"/>
        <v>0</v>
      </c>
      <c r="P43" s="50"/>
      <c r="Q43" s="39"/>
      <c r="R43" s="39"/>
      <c r="S43" s="36">
        <f t="shared" si="8"/>
        <v>0</v>
      </c>
      <c r="T43" s="43">
        <f t="shared" si="9"/>
        <v>0</v>
      </c>
      <c r="U43" s="67">
        <f t="shared" si="10"/>
        <v>0</v>
      </c>
      <c r="V43" s="45"/>
      <c r="W43" s="83" cm="1">
        <f t="array" ref="W43">TRANSPOSE('ASISTENCIA C'!AI40)</f>
        <v>0</v>
      </c>
      <c r="X43" s="33"/>
    </row>
    <row r="44" spans="1:24" s="12" customFormat="1" ht="59.25" customHeight="1" thickBot="1" x14ac:dyDescent="0.35">
      <c r="A44" s="66">
        <f t="shared" si="5"/>
        <v>33</v>
      </c>
      <c r="B44" s="79" t="s">
        <v>180</v>
      </c>
      <c r="C44" s="30"/>
      <c r="D44" s="31">
        <f t="shared" si="0"/>
        <v>0</v>
      </c>
      <c r="E44" s="30"/>
      <c r="F44" s="31">
        <f t="shared" si="1"/>
        <v>0</v>
      </c>
      <c r="G44" s="30"/>
      <c r="H44" s="31">
        <f t="shared" si="2"/>
        <v>0</v>
      </c>
      <c r="I44" s="30"/>
      <c r="J44" s="31">
        <f t="shared" si="3"/>
        <v>0</v>
      </c>
      <c r="K44" s="30"/>
      <c r="L44" s="31">
        <f t="shared" si="4"/>
        <v>0</v>
      </c>
      <c r="M44" s="30"/>
      <c r="N44" s="31">
        <f t="shared" si="6"/>
        <v>0</v>
      </c>
      <c r="O44" s="42">
        <f t="shared" si="7"/>
        <v>0</v>
      </c>
      <c r="P44" s="50"/>
      <c r="Q44" s="35"/>
      <c r="R44" s="39"/>
      <c r="S44" s="36">
        <f t="shared" si="8"/>
        <v>0</v>
      </c>
      <c r="T44" s="43">
        <f t="shared" si="9"/>
        <v>0</v>
      </c>
      <c r="U44" s="67">
        <f t="shared" si="10"/>
        <v>0</v>
      </c>
      <c r="V44" s="45"/>
      <c r="W44" s="83" cm="1">
        <f t="array" ref="W44">TRANSPOSE('ASISTENCIA C'!AI41)</f>
        <v>0</v>
      </c>
      <c r="X44" s="33"/>
    </row>
    <row r="45" spans="1:24" s="12" customFormat="1" ht="59.25" customHeight="1" thickBot="1" x14ac:dyDescent="0.35">
      <c r="A45" s="66">
        <f t="shared" si="5"/>
        <v>34</v>
      </c>
      <c r="B45" s="79" t="s">
        <v>181</v>
      </c>
      <c r="C45" s="30"/>
      <c r="D45" s="31">
        <f t="shared" si="0"/>
        <v>0</v>
      </c>
      <c r="E45" s="30"/>
      <c r="F45" s="31">
        <f t="shared" si="1"/>
        <v>0</v>
      </c>
      <c r="G45" s="30"/>
      <c r="H45" s="31">
        <f t="shared" si="2"/>
        <v>0</v>
      </c>
      <c r="I45" s="30"/>
      <c r="J45" s="31">
        <f t="shared" si="3"/>
        <v>0</v>
      </c>
      <c r="K45" s="30"/>
      <c r="L45" s="31">
        <f t="shared" si="4"/>
        <v>0</v>
      </c>
      <c r="M45" s="32"/>
      <c r="N45" s="31">
        <f t="shared" si="6"/>
        <v>0</v>
      </c>
      <c r="O45" s="42">
        <f t="shared" si="7"/>
        <v>0</v>
      </c>
      <c r="P45" s="50"/>
      <c r="Q45" s="34"/>
      <c r="R45" s="39"/>
      <c r="S45" s="36">
        <f t="shared" si="8"/>
        <v>0</v>
      </c>
      <c r="T45" s="43">
        <f t="shared" si="9"/>
        <v>0</v>
      </c>
      <c r="U45" s="67">
        <f t="shared" si="10"/>
        <v>0</v>
      </c>
      <c r="V45" s="45"/>
      <c r="W45" s="83" cm="1">
        <f t="array" ref="W45">TRANSPOSE('ASISTENCIA C'!AI42)</f>
        <v>0</v>
      </c>
      <c r="X45" s="33"/>
    </row>
    <row r="46" spans="1:24" s="12" customFormat="1" ht="51.75" customHeight="1" thickBot="1" x14ac:dyDescent="0.35">
      <c r="A46" s="66" t="str">
        <f t="shared" si="5"/>
        <v/>
      </c>
      <c r="B46" s="75"/>
      <c r="C46" s="30"/>
      <c r="D46" s="31">
        <f t="shared" si="0"/>
        <v>0</v>
      </c>
      <c r="E46" s="30"/>
      <c r="F46" s="31">
        <f t="shared" si="1"/>
        <v>0</v>
      </c>
      <c r="G46" s="30"/>
      <c r="H46" s="31">
        <f t="shared" si="2"/>
        <v>0</v>
      </c>
      <c r="I46" s="30"/>
      <c r="J46" s="31">
        <f t="shared" si="3"/>
        <v>0</v>
      </c>
      <c r="K46" s="30"/>
      <c r="L46" s="31">
        <f t="shared" si="4"/>
        <v>0</v>
      </c>
      <c r="M46" s="32"/>
      <c r="N46" s="31">
        <f t="shared" si="6"/>
        <v>0</v>
      </c>
      <c r="O46" s="42">
        <f t="shared" si="7"/>
        <v>0</v>
      </c>
      <c r="P46" s="50"/>
      <c r="Q46" s="34"/>
      <c r="R46" s="35"/>
      <c r="S46" s="36">
        <f t="shared" si="8"/>
        <v>0</v>
      </c>
      <c r="T46" s="43">
        <f t="shared" si="9"/>
        <v>0</v>
      </c>
      <c r="U46" s="67">
        <f t="shared" si="10"/>
        <v>0</v>
      </c>
      <c r="V46" s="45"/>
      <c r="W46" s="83" cm="1">
        <f t="array" ref="W46">TRANSPOSE('ASISTENCIA C'!AI43)</f>
        <v>0</v>
      </c>
      <c r="X46" s="33"/>
    </row>
    <row r="47" spans="1:24" s="12" customFormat="1" ht="51.75" customHeight="1" x14ac:dyDescent="0.3">
      <c r="A47" s="66" t="str">
        <f t="shared" si="5"/>
        <v/>
      </c>
      <c r="B47" s="76"/>
      <c r="C47" s="30"/>
      <c r="D47" s="31">
        <f t="shared" si="0"/>
        <v>0</v>
      </c>
      <c r="E47" s="30"/>
      <c r="F47" s="31">
        <f t="shared" si="1"/>
        <v>0</v>
      </c>
      <c r="G47" s="30"/>
      <c r="H47" s="31">
        <f t="shared" si="2"/>
        <v>0</v>
      </c>
      <c r="I47" s="30"/>
      <c r="J47" s="31">
        <f t="shared" si="3"/>
        <v>0</v>
      </c>
      <c r="K47" s="30"/>
      <c r="L47" s="31">
        <f t="shared" si="4"/>
        <v>0</v>
      </c>
      <c r="M47" s="32"/>
      <c r="N47" s="31">
        <f t="shared" si="6"/>
        <v>0</v>
      </c>
      <c r="O47" s="42">
        <f t="shared" si="7"/>
        <v>0</v>
      </c>
      <c r="P47" s="50"/>
      <c r="Q47" s="34"/>
      <c r="R47" s="34"/>
      <c r="S47" s="36">
        <f t="shared" si="8"/>
        <v>0</v>
      </c>
      <c r="T47" s="43">
        <f t="shared" si="9"/>
        <v>0</v>
      </c>
      <c r="U47" s="67">
        <f t="shared" si="10"/>
        <v>0</v>
      </c>
      <c r="V47" s="45"/>
      <c r="W47" s="83" cm="1">
        <f t="array" ref="W47">TRANSPOSE('ASISTENCIA C'!AI44)</f>
        <v>0</v>
      </c>
      <c r="X47" s="33"/>
    </row>
    <row r="48" spans="1:24" ht="23.25" x14ac:dyDescent="0.35">
      <c r="A48" s="28"/>
      <c r="B48" s="65"/>
      <c r="E48" s="30"/>
      <c r="G48" s="30"/>
      <c r="I48" s="29"/>
      <c r="K48" s="30"/>
      <c r="W48" s="38" cm="1">
        <f t="array" ref="W48">TRANSPOSE('ASISTENCIA C'!AI45)</f>
        <v>0</v>
      </c>
    </row>
    <row r="49" spans="11:11" ht="23.25" x14ac:dyDescent="0.3">
      <c r="K49" s="30"/>
    </row>
    <row r="50" spans="11:11" ht="23.25" x14ac:dyDescent="0.3">
      <c r="K50" s="30"/>
    </row>
    <row r="51" spans="11:11" ht="23.25" x14ac:dyDescent="0.3">
      <c r="K51" s="30"/>
    </row>
    <row r="52" spans="11:11" ht="23.25" x14ac:dyDescent="0.3">
      <c r="K52" s="30"/>
    </row>
    <row r="53" spans="11:11" ht="23.25" x14ac:dyDescent="0.3">
      <c r="K53" s="30"/>
    </row>
  </sheetData>
  <sheetProtection algorithmName="SHA-512" hashValue="4qbzjXQKtgFQHrxZT9FF9ayAPcZIiy62fOt/5Je7BbKpfDx/DkcSANH6/mCrB00eb8K2C0rd/rLPE096ollSCQ==" saltValue="374y5ElKH+V+Nr+cU2BqQg==" spinCount="100000" sheet="1" selectLockedCells="1"/>
  <mergeCells count="28">
    <mergeCell ref="A5:B5"/>
    <mergeCell ref="O6:O11"/>
    <mergeCell ref="A10:B10"/>
    <mergeCell ref="I4:I10"/>
    <mergeCell ref="J4:J10"/>
    <mergeCell ref="K4:K10"/>
    <mergeCell ref="L4:L10"/>
    <mergeCell ref="M4:M10"/>
    <mergeCell ref="N4:N10"/>
    <mergeCell ref="C4:C10"/>
    <mergeCell ref="D4:D10"/>
    <mergeCell ref="E4:E10"/>
    <mergeCell ref="F4:F10"/>
    <mergeCell ref="G4:G10"/>
    <mergeCell ref="H4:H10"/>
    <mergeCell ref="C1:S1"/>
    <mergeCell ref="T1:X1"/>
    <mergeCell ref="C2:O3"/>
    <mergeCell ref="P2:P11"/>
    <mergeCell ref="Q2:S3"/>
    <mergeCell ref="T2:T11"/>
    <mergeCell ref="U2:U11"/>
    <mergeCell ref="V2:V11"/>
    <mergeCell ref="X2:X11"/>
    <mergeCell ref="W3:W11"/>
    <mergeCell ref="Q4:Q11"/>
    <mergeCell ref="R4:R11"/>
    <mergeCell ref="S4:S11"/>
  </mergeCells>
  <conditionalFormatting sqref="A12:X12 A13:V17 X13:X47 W13:W48 A18:J47 L18:V47 K18:K53 E48 G48">
    <cfRule type="expression" dxfId="59" priority="2">
      <formula>$A12&lt;&gt;""</formula>
    </cfRule>
  </conditionalFormatting>
  <conditionalFormatting sqref="C12:C47 E12:E48 G12:G48 I12:I48 K12:K53">
    <cfRule type="containsText" dxfId="58" priority="13" stopIfTrue="1" operator="containsText" text="NP">
      <formula>NOT(ISERROR(SEARCH("NP",C12)))</formula>
    </cfRule>
  </conditionalFormatting>
  <conditionalFormatting sqref="C12:O12 C13:K17 L13:O47 C18:J46 C47:H47 J47 K18:K53 I47:I48 E48 G48">
    <cfRule type="cellIs" dxfId="57" priority="8" operator="lessThan">
      <formula>10</formula>
    </cfRule>
    <cfRule type="cellIs" dxfId="56" priority="9" operator="lessThan">
      <formula>9.4</formula>
    </cfRule>
    <cfRule type="containsText" dxfId="55" priority="10" operator="containsText" text="I">
      <formula>NOT(ISERROR(SEARCH("I",C12)))</formula>
    </cfRule>
    <cfRule type="containsText" dxfId="54" priority="11" operator="containsText" text="NP">
      <formula>NOT(ISERROR(SEARCH("NP",C12)))</formula>
    </cfRule>
    <cfRule type="containsText" dxfId="53" priority="12" operator="containsText" text="NE">
      <formula>NOT(ISERROR(SEARCH("NE",C12)))</formula>
    </cfRule>
  </conditionalFormatting>
  <conditionalFormatting sqref="D12:D47 F12:F47 H12:H47 J12:J47 L12:L47 N12:N47">
    <cfRule type="cellIs" dxfId="52" priority="6" operator="greaterThan">
      <formula>0</formula>
    </cfRule>
  </conditionalFormatting>
  <conditionalFormatting sqref="K12:K17 G12:G48 I12:I48 M12">
    <cfRule type="containsText" dxfId="51" priority="19" operator="containsText" text="i">
      <formula>NOT(ISERROR(SEARCH("i",G12)))</formula>
    </cfRule>
  </conditionalFormatting>
  <conditionalFormatting sqref="K12:K17 G12:G48 I12:I48 M12:M47">
    <cfRule type="cellIs" dxfId="50" priority="14" operator="lessThan">
      <formula>10</formula>
    </cfRule>
    <cfRule type="containsText" dxfId="49" priority="15" operator="containsText" text="NP">
      <formula>NOT(ISERROR(SEARCH("NP",G12)))</formula>
    </cfRule>
    <cfRule type="containsText" dxfId="48" priority="16" operator="containsText" text="NE">
      <formula>NOT(ISERROR(SEARCH("NE",G12)))</formula>
    </cfRule>
    <cfRule type="containsText" dxfId="47" priority="17" operator="containsText" text="I">
      <formula>NOT(ISERROR(SEARCH("I",G12)))</formula>
    </cfRule>
  </conditionalFormatting>
  <conditionalFormatting sqref="L18:O48 A12:O17 A18:J48 K18:K53">
    <cfRule type="expression" dxfId="46" priority="5">
      <formula>$A12=""</formula>
    </cfRule>
  </conditionalFormatting>
  <conditionalFormatting sqref="M12">
    <cfRule type="containsText" dxfId="45" priority="20" stopIfTrue="1" operator="containsText" text="NP">
      <formula>NOT(ISERROR(SEARCH("NP",M12)))</formula>
    </cfRule>
  </conditionalFormatting>
  <conditionalFormatting sqref="M40:M44">
    <cfRule type="expression" dxfId="44" priority="4">
      <formula>$A40&lt;&gt;""</formula>
    </cfRule>
  </conditionalFormatting>
  <conditionalFormatting sqref="O12:O47">
    <cfRule type="cellIs" dxfId="43" priority="18" operator="lessThan">
      <formula>10</formula>
    </cfRule>
  </conditionalFormatting>
  <conditionalFormatting sqref="O12:O48">
    <cfRule type="cellIs" dxfId="42" priority="7" operator="lessThan">
      <formula>9.4</formula>
    </cfRule>
  </conditionalFormatting>
  <conditionalFormatting sqref="Q12:R42 Q43 R43:R45">
    <cfRule type="expression" dxfId="41" priority="1">
      <formula>$A12&lt;&gt;""</formula>
    </cfRule>
  </conditionalFormatting>
  <conditionalFormatting sqref="T12:U47">
    <cfRule type="cellIs" dxfId="40" priority="3" operator="lessThan">
      <formula>9.5</formula>
    </cfRule>
  </conditionalFormatting>
  <printOptions verticalCentered="1"/>
  <pageMargins left="0" right="0" top="0" bottom="0" header="7.874015748031496E-2" footer="0"/>
  <pageSetup scale="3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D2D9-ECFB-443E-8820-018BFC511414}">
  <dimension ref="A1:AJ43"/>
  <sheetViews>
    <sheetView view="pageBreakPreview" zoomScale="32" zoomScaleNormal="40" zoomScaleSheetLayoutView="32" workbookViewId="0">
      <pane xSplit="3" ySplit="8" topLeftCell="D9" activePane="bottomRight" state="frozen"/>
      <selection activeCell="D3" sqref="D3:AH3"/>
      <selection pane="topRight" activeCell="D3" sqref="D3:AH3"/>
      <selection pane="bottomLeft" activeCell="D3" sqref="D3:AH3"/>
      <selection pane="bottomRight" activeCell="D3" sqref="D3:AH3"/>
    </sheetView>
  </sheetViews>
  <sheetFormatPr baseColWidth="10" defaultColWidth="9.140625" defaultRowHeight="23.25" x14ac:dyDescent="0.35"/>
  <cols>
    <col min="1" max="1" width="16.85546875" style="8" customWidth="1"/>
    <col min="2" max="2" width="102" style="7" customWidth="1"/>
    <col min="3" max="3" width="13.42578125" style="7" customWidth="1"/>
    <col min="4" max="34" width="13.85546875" style="7" customWidth="1"/>
    <col min="35" max="35" width="13.28515625" style="9" customWidth="1"/>
    <col min="36" max="16384" width="9.140625" style="10"/>
  </cols>
  <sheetData>
    <row r="1" spans="1:36" ht="0.95" customHeight="1" thickBot="1" x14ac:dyDescent="0.4"/>
    <row r="2" spans="1:36" ht="42.75" customHeight="1" thickBot="1" x14ac:dyDescent="0.45">
      <c r="A2" s="16"/>
      <c r="B2" s="16"/>
      <c r="C2" s="17"/>
      <c r="D2" s="121" t="s">
        <v>37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34"/>
      <c r="P2" s="134"/>
      <c r="Q2" s="134"/>
      <c r="R2" s="134"/>
      <c r="S2" s="134"/>
      <c r="T2" s="135" t="s">
        <v>40</v>
      </c>
      <c r="U2" s="136"/>
      <c r="V2" s="136"/>
      <c r="W2" s="136"/>
      <c r="X2" s="137">
        <f>SUM(AB2,AF2)</f>
        <v>34</v>
      </c>
      <c r="Y2" s="138"/>
      <c r="Z2" s="60" t="s">
        <v>17</v>
      </c>
      <c r="AA2" s="18" t="s">
        <v>18</v>
      </c>
      <c r="AB2" s="139">
        <f>COUNTIF(C9:C42,Z2)</f>
        <v>13</v>
      </c>
      <c r="AC2" s="139"/>
      <c r="AD2" s="61" t="s">
        <v>19</v>
      </c>
      <c r="AE2" s="18" t="s">
        <v>18</v>
      </c>
      <c r="AF2" s="139">
        <f>COUNTIF(C9:C42,AD2)</f>
        <v>21</v>
      </c>
      <c r="AG2" s="139"/>
      <c r="AH2" s="140"/>
      <c r="AI2" s="127" t="s">
        <v>25</v>
      </c>
    </row>
    <row r="3" spans="1:36" ht="53.25" customHeight="1" x14ac:dyDescent="0.4">
      <c r="A3" s="54"/>
      <c r="B3" s="57" t="str">
        <f>'AVANCE C'!B7</f>
        <v>2DO  AÑO SECCIÓN "C"</v>
      </c>
      <c r="C3" s="54"/>
      <c r="D3" s="130" t="s">
        <v>39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3"/>
      <c r="AI3" s="128"/>
    </row>
    <row r="4" spans="1:36" ht="57" customHeight="1" x14ac:dyDescent="0.35">
      <c r="A4" s="55" t="s">
        <v>36</v>
      </c>
      <c r="B4" s="62" t="str">
        <f>'AVANCE C'!B9</f>
        <v>XX</v>
      </c>
      <c r="C4" s="125" t="s">
        <v>28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8"/>
    </row>
    <row r="5" spans="1:36" ht="57" customHeight="1" x14ac:dyDescent="0.35">
      <c r="A5" s="56" t="s">
        <v>33</v>
      </c>
      <c r="B5" s="62">
        <f>'AVANCE C'!B6</f>
        <v>0</v>
      </c>
      <c r="C5" s="125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8"/>
    </row>
    <row r="6" spans="1:36" ht="57" customHeight="1" x14ac:dyDescent="0.35">
      <c r="A6" s="124" t="s">
        <v>20</v>
      </c>
      <c r="B6" s="124"/>
      <c r="C6" s="125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9"/>
    </row>
    <row r="7" spans="1:36" ht="57" customHeight="1" x14ac:dyDescent="0.35">
      <c r="A7" s="19" t="s">
        <v>21</v>
      </c>
      <c r="B7" s="20" t="s">
        <v>15</v>
      </c>
      <c r="C7" s="126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21" t="s">
        <v>23</v>
      </c>
    </row>
    <row r="8" spans="1:36" ht="44.25" customHeight="1" x14ac:dyDescent="0.35">
      <c r="A8" s="23"/>
      <c r="B8" s="24"/>
      <c r="C8" s="59" t="s">
        <v>22</v>
      </c>
      <c r="D8" s="48">
        <v>1</v>
      </c>
      <c r="E8" s="48" t="s">
        <v>31</v>
      </c>
      <c r="F8" s="48" t="s">
        <v>32</v>
      </c>
      <c r="G8" s="48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49"/>
    </row>
    <row r="9" spans="1:36" ht="66.75" customHeight="1" x14ac:dyDescent="0.35">
      <c r="A9" s="22">
        <v>1</v>
      </c>
      <c r="B9" s="74" t="str">
        <f>TRANSPOSE('AVANCE C'!B12)</f>
        <v>CORTEZ OLIVARES JUAN CARLOS</v>
      </c>
      <c r="C9" s="77" t="s">
        <v>17</v>
      </c>
      <c r="D9" s="58"/>
      <c r="E9" s="25"/>
      <c r="F9" s="25">
        <v>4</v>
      </c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7">
        <f>SUM(D9:AH9)</f>
        <v>4</v>
      </c>
      <c r="AJ9" s="11"/>
    </row>
    <row r="10" spans="1:36" ht="66.75" customHeight="1" x14ac:dyDescent="0.35">
      <c r="A10" s="22">
        <v>2</v>
      </c>
      <c r="B10" s="74" t="str" cm="1">
        <f t="array" ref="B10">TRANSPOSE('AVANCE C'!B13)</f>
        <v>RAMOS KUEFATI MARÍA GABRIELA</v>
      </c>
      <c r="C10" s="77" t="s">
        <v>19</v>
      </c>
      <c r="D10" s="58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>
        <f t="shared" ref="AI10:AI42" si="0">SUM(D10:AH10)</f>
        <v>0</v>
      </c>
      <c r="AJ10" s="11"/>
    </row>
    <row r="11" spans="1:36" ht="66.75" customHeight="1" x14ac:dyDescent="0.35">
      <c r="A11" s="22">
        <v>3</v>
      </c>
      <c r="B11" s="74" t="str" cm="1">
        <f t="array" ref="B11">TRANSPOSE('AVANCE C'!B14)</f>
        <v>QUINTERO RODRIGUEZ BIANCA ANABELLE</v>
      </c>
      <c r="C11" s="77" t="s">
        <v>19</v>
      </c>
      <c r="D11" s="58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>
        <f t="shared" si="0"/>
        <v>0</v>
      </c>
      <c r="AJ11" s="11"/>
    </row>
    <row r="12" spans="1:36" ht="66.75" customHeight="1" x14ac:dyDescent="0.35">
      <c r="A12" s="22">
        <v>4</v>
      </c>
      <c r="B12" s="74" t="str" cm="1">
        <f t="array" ref="B12">TRANSPOSE('AVANCE C'!B15)</f>
        <v>MACHADO ZACARÍAS CYNTHIA LUCÍA</v>
      </c>
      <c r="C12" s="77" t="s">
        <v>19</v>
      </c>
      <c r="D12" s="58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>
        <f t="shared" si="0"/>
        <v>0</v>
      </c>
      <c r="AJ12" s="11"/>
    </row>
    <row r="13" spans="1:36" ht="66.75" customHeight="1" x14ac:dyDescent="0.35">
      <c r="A13" s="22">
        <v>5</v>
      </c>
      <c r="B13" s="74" t="str" cm="1">
        <f t="array" ref="B13">TRANSPOSE('AVANCE C'!B16)</f>
        <v>ROJAS LÓPEZ MELANY SOPHIA</v>
      </c>
      <c r="C13" s="77" t="s">
        <v>19</v>
      </c>
      <c r="D13" s="58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>
        <f t="shared" si="0"/>
        <v>0</v>
      </c>
      <c r="AJ13" s="11"/>
    </row>
    <row r="14" spans="1:36" ht="66.75" customHeight="1" x14ac:dyDescent="0.35">
      <c r="A14" s="22">
        <v>6</v>
      </c>
      <c r="B14" s="74" t="str" cm="1">
        <f t="array" ref="B14">TRANSPOSE('AVANCE C'!B17)</f>
        <v>LÁREZ ALCALÁ KAROL DEL VALLE</v>
      </c>
      <c r="C14" s="77" t="s">
        <v>19</v>
      </c>
      <c r="D14" s="58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>
        <f t="shared" si="0"/>
        <v>0</v>
      </c>
      <c r="AJ14" s="11"/>
    </row>
    <row r="15" spans="1:36" ht="66.75" customHeight="1" x14ac:dyDescent="0.35">
      <c r="A15" s="22">
        <v>7</v>
      </c>
      <c r="B15" s="74" t="str" cm="1">
        <f t="array" ref="B15">TRANSPOSE('AVANCE C'!B18)</f>
        <v>GRANDA VIVAS ÁNGEL IBRAHIN</v>
      </c>
      <c r="C15" s="77" t="s">
        <v>17</v>
      </c>
      <c r="D15" s="58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>
        <f t="shared" si="0"/>
        <v>0</v>
      </c>
      <c r="AJ15" s="11"/>
    </row>
    <row r="16" spans="1:36" ht="66.75" customHeight="1" x14ac:dyDescent="0.35">
      <c r="A16" s="22">
        <v>8</v>
      </c>
      <c r="B16" s="74" t="str" cm="1">
        <f t="array" ref="B16">TRANSPOSE('AVANCE C'!B19)</f>
        <v>PÉREZ ACOSTA FELIPE ALEJANDRO</v>
      </c>
      <c r="C16" s="77" t="s">
        <v>17</v>
      </c>
      <c r="D16" s="58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>
        <f t="shared" si="0"/>
        <v>0</v>
      </c>
      <c r="AJ16" s="11"/>
    </row>
    <row r="17" spans="1:36" ht="66.75" customHeight="1" x14ac:dyDescent="0.35">
      <c r="A17" s="22">
        <v>9</v>
      </c>
      <c r="B17" s="74" t="str" cm="1">
        <f t="array" ref="B17">TRANSPOSE('AVANCE C'!B20)</f>
        <v>REQUENA BELMONTE JUAN CAMILO</v>
      </c>
      <c r="C17" s="77" t="s">
        <v>17</v>
      </c>
      <c r="D17" s="58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>
        <f t="shared" si="0"/>
        <v>0</v>
      </c>
      <c r="AJ17" s="11"/>
    </row>
    <row r="18" spans="1:36" ht="66.75" customHeight="1" x14ac:dyDescent="0.35">
      <c r="A18" s="22">
        <v>10</v>
      </c>
      <c r="B18" s="74" t="str" cm="1">
        <f t="array" ref="B18">TRANSPOSE('AVANCE C'!B21)</f>
        <v>PÉREZ BERRIOS SANTIAGO JESÚS</v>
      </c>
      <c r="C18" s="77" t="s">
        <v>17</v>
      </c>
      <c r="D18" s="58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>
        <f t="shared" si="0"/>
        <v>0</v>
      </c>
      <c r="AJ18" s="11"/>
    </row>
    <row r="19" spans="1:36" ht="66.75" customHeight="1" x14ac:dyDescent="0.35">
      <c r="A19" s="22">
        <v>11</v>
      </c>
      <c r="B19" s="74" t="str" cm="1">
        <f t="array" ref="B19">TRANSPOSE('AVANCE C'!B22)</f>
        <v>SUCRE VIANI ANTHONELLA SOFÍA</v>
      </c>
      <c r="C19" s="77" t="s">
        <v>19</v>
      </c>
      <c r="D19" s="58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>
        <f t="shared" si="0"/>
        <v>0</v>
      </c>
      <c r="AJ19" s="11"/>
    </row>
    <row r="20" spans="1:36" ht="66.75" customHeight="1" x14ac:dyDescent="0.35">
      <c r="A20" s="22">
        <v>12</v>
      </c>
      <c r="B20" s="74" t="str" cm="1">
        <f t="array" ref="B20">TRANSPOSE('AVANCE C'!B23)</f>
        <v>CERMEÑO GÓMEZ SALOMÓN ADONAI</v>
      </c>
      <c r="C20" s="77" t="s">
        <v>17</v>
      </c>
      <c r="D20" s="58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7">
        <f t="shared" si="0"/>
        <v>0</v>
      </c>
      <c r="AJ20" s="11"/>
    </row>
    <row r="21" spans="1:36" ht="66.75" customHeight="1" x14ac:dyDescent="0.35">
      <c r="A21" s="22">
        <v>13</v>
      </c>
      <c r="B21" s="74" t="str" cm="1">
        <f t="array" ref="B21">TRANSPOSE('AVANCE C'!B24)</f>
        <v>HERRERA GUARIMÁN SAMANTHA SARAHI</v>
      </c>
      <c r="C21" s="77" t="s">
        <v>19</v>
      </c>
      <c r="D21" s="58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7">
        <f t="shared" si="0"/>
        <v>0</v>
      </c>
      <c r="AJ21" s="11"/>
    </row>
    <row r="22" spans="1:36" ht="66.75" customHeight="1" x14ac:dyDescent="0.35">
      <c r="A22" s="22">
        <v>14</v>
      </c>
      <c r="B22" s="74" t="str" cm="1">
        <f t="array" ref="B22">TRANSPOSE('AVANCE C'!B25)</f>
        <v>CONTRERAS MARTÍNEZ STEFFANY NICOLE</v>
      </c>
      <c r="C22" s="77" t="s">
        <v>19</v>
      </c>
      <c r="D22" s="58"/>
      <c r="E22" s="25"/>
      <c r="F22" s="25"/>
      <c r="G22" s="25"/>
      <c r="H22" s="25"/>
      <c r="I22" s="25"/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>
        <f t="shared" si="0"/>
        <v>0</v>
      </c>
      <c r="AJ22" s="11"/>
    </row>
    <row r="23" spans="1:36" ht="66.75" customHeight="1" x14ac:dyDescent="0.35">
      <c r="A23" s="22">
        <v>15</v>
      </c>
      <c r="B23" s="74" t="str" cm="1">
        <f t="array" ref="B23">TRANSPOSE('AVANCE C'!B26)</f>
        <v>OSORIO AREVALO SAMUEL RAMÓN</v>
      </c>
      <c r="C23" s="77" t="s">
        <v>17</v>
      </c>
      <c r="D23" s="58"/>
      <c r="E23" s="25"/>
      <c r="F23" s="25"/>
      <c r="G23" s="25"/>
      <c r="H23" s="25"/>
      <c r="I23" s="25"/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7">
        <f t="shared" si="0"/>
        <v>0</v>
      </c>
      <c r="AJ23" s="11"/>
    </row>
    <row r="24" spans="1:36" ht="66.75" customHeight="1" x14ac:dyDescent="0.35">
      <c r="A24" s="22">
        <v>16</v>
      </c>
      <c r="B24" s="74" t="str" cm="1">
        <f t="array" ref="B24">TRANSPOSE('AVANCE C'!B27)</f>
        <v>MARÍN FIGUERA MATHIAS ALEJANDRO</v>
      </c>
      <c r="C24" s="77" t="s">
        <v>17</v>
      </c>
      <c r="D24" s="58"/>
      <c r="E24" s="25"/>
      <c r="F24" s="25"/>
      <c r="G24" s="25"/>
      <c r="H24" s="25"/>
      <c r="I24" s="25"/>
      <c r="J24" s="2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 t="s">
        <v>28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7">
        <f t="shared" si="0"/>
        <v>0</v>
      </c>
      <c r="AJ24" s="11"/>
    </row>
    <row r="25" spans="1:36" ht="66.75" customHeight="1" x14ac:dyDescent="0.35">
      <c r="A25" s="22">
        <v>17</v>
      </c>
      <c r="B25" s="74" t="str" cm="1">
        <f t="array" ref="B25">TRANSPOSE('AVANCE C'!B28)</f>
        <v>GUZMÁN CONTRERAS GABRIELA DE LOS ÁNGELES</v>
      </c>
      <c r="C25" s="77" t="s">
        <v>19</v>
      </c>
      <c r="D25" s="58"/>
      <c r="E25" s="25"/>
      <c r="F25" s="25"/>
      <c r="G25" s="25"/>
      <c r="H25" s="25"/>
      <c r="I25" s="25"/>
      <c r="J25" s="25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>
        <f t="shared" si="0"/>
        <v>0</v>
      </c>
      <c r="AJ25" s="11"/>
    </row>
    <row r="26" spans="1:36" ht="66.75" customHeight="1" x14ac:dyDescent="0.35">
      <c r="A26" s="22">
        <v>18</v>
      </c>
      <c r="B26" s="74" t="str" cm="1">
        <f t="array" ref="B26">TRANSPOSE('AVANCE C'!B29)</f>
        <v>PARICAGUÁN OTERO ÁMBAR REBECA</v>
      </c>
      <c r="C26" s="77" t="s">
        <v>19</v>
      </c>
      <c r="D26" s="58"/>
      <c r="E26" s="25"/>
      <c r="F26" s="25"/>
      <c r="G26" s="25"/>
      <c r="H26" s="25"/>
      <c r="I26" s="25"/>
      <c r="J26" s="25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>
        <f t="shared" si="0"/>
        <v>0</v>
      </c>
      <c r="AJ26" s="11"/>
    </row>
    <row r="27" spans="1:36" ht="66.75" customHeight="1" x14ac:dyDescent="0.35">
      <c r="A27" s="22">
        <v>19</v>
      </c>
      <c r="B27" s="74" t="str" cm="1">
        <f t="array" ref="B27">TRANSPOSE('AVANCE C'!B30)</f>
        <v>MILLÁN MEDINA ALEANYIS DAIN</v>
      </c>
      <c r="C27" s="77" t="s">
        <v>19</v>
      </c>
      <c r="D27" s="58"/>
      <c r="E27" s="25"/>
      <c r="F27" s="25"/>
      <c r="G27" s="25"/>
      <c r="H27" s="25"/>
      <c r="I27" s="25"/>
      <c r="J27" s="25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>
        <f t="shared" si="0"/>
        <v>0</v>
      </c>
      <c r="AJ27" s="11"/>
    </row>
    <row r="28" spans="1:36" ht="66.75" customHeight="1" x14ac:dyDescent="0.35">
      <c r="A28" s="22">
        <v>20</v>
      </c>
      <c r="B28" s="74" t="str" cm="1">
        <f t="array" ref="B28">TRANSPOSE('AVANCE C'!B31)</f>
        <v>SABINO CARUTO IVET ISABELLA</v>
      </c>
      <c r="C28" s="77" t="s">
        <v>19</v>
      </c>
      <c r="D28" s="58"/>
      <c r="E28" s="25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>
        <f t="shared" si="0"/>
        <v>0</v>
      </c>
      <c r="AJ28" s="11"/>
    </row>
    <row r="29" spans="1:36" ht="66.75" customHeight="1" x14ac:dyDescent="0.35">
      <c r="A29" s="22">
        <v>21</v>
      </c>
      <c r="B29" s="74" t="str" cm="1">
        <f t="array" ref="B29">TRANSPOSE('AVANCE C'!B32)</f>
        <v>LOPÉZ GUZMÁN SANTIAGO JESÚS</v>
      </c>
      <c r="C29" s="77" t="s">
        <v>17</v>
      </c>
      <c r="D29" s="58"/>
      <c r="E29" s="25"/>
      <c r="F29" s="25"/>
      <c r="G29" s="25"/>
      <c r="H29" s="25"/>
      <c r="I29" s="25"/>
      <c r="J29" s="25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>
        <f t="shared" si="0"/>
        <v>0</v>
      </c>
      <c r="AJ29" s="11"/>
    </row>
    <row r="30" spans="1:36" ht="66.75" customHeight="1" x14ac:dyDescent="0.35">
      <c r="A30" s="22">
        <v>22</v>
      </c>
      <c r="B30" s="74" t="str" cm="1">
        <f t="array" ref="B30">TRANSPOSE('AVANCE C'!B33)</f>
        <v>RESTREPO ARREAZA NOEL JOSÉ</v>
      </c>
      <c r="C30" s="77" t="s">
        <v>17</v>
      </c>
      <c r="D30" s="58"/>
      <c r="E30" s="25"/>
      <c r="F30" s="25"/>
      <c r="G30" s="25"/>
      <c r="H30" s="25"/>
      <c r="I30" s="25"/>
      <c r="J30" s="25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>
        <f t="shared" si="0"/>
        <v>0</v>
      </c>
      <c r="AJ30" s="11"/>
    </row>
    <row r="31" spans="1:36" ht="66.75" customHeight="1" x14ac:dyDescent="0.35">
      <c r="A31" s="22">
        <v>23</v>
      </c>
      <c r="B31" s="74" t="str" cm="1">
        <f t="array" ref="B31">TRANSPOSE('AVANCE C'!B34)</f>
        <v>FERNÁNDEZ BASTARDO SOFÍA FERNANDA</v>
      </c>
      <c r="C31" s="77" t="s">
        <v>19</v>
      </c>
      <c r="D31" s="58"/>
      <c r="E31" s="25"/>
      <c r="F31" s="25"/>
      <c r="G31" s="25"/>
      <c r="H31" s="25"/>
      <c r="I31" s="25"/>
      <c r="J31" s="25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>
        <f t="shared" si="0"/>
        <v>0</v>
      </c>
      <c r="AJ31" s="11"/>
    </row>
    <row r="32" spans="1:36" ht="66.75" customHeight="1" x14ac:dyDescent="0.35">
      <c r="A32" s="22">
        <v>24</v>
      </c>
      <c r="B32" s="74" t="str" cm="1">
        <f t="array" ref="B32">TRANSPOSE('AVANCE C'!B35)</f>
        <v>NATERA GONZÁLEZ CAMILA SOFÍA</v>
      </c>
      <c r="C32" s="77" t="s">
        <v>19</v>
      </c>
      <c r="D32" s="58"/>
      <c r="E32" s="25"/>
      <c r="F32" s="25"/>
      <c r="G32" s="25"/>
      <c r="H32" s="25"/>
      <c r="I32" s="25"/>
      <c r="J32" s="25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>
        <f t="shared" si="0"/>
        <v>0</v>
      </c>
      <c r="AJ32" s="11"/>
    </row>
    <row r="33" spans="1:36" ht="66.75" customHeight="1" x14ac:dyDescent="0.35">
      <c r="A33" s="22">
        <v>25</v>
      </c>
      <c r="B33" s="74" t="str" cm="1">
        <f t="array" ref="B33">TRANSPOSE('AVANCE C'!B36)</f>
        <v>PÉREZ CAMPERO MATÍAS SANTIAGO</v>
      </c>
      <c r="C33" s="77" t="s">
        <v>17</v>
      </c>
      <c r="D33" s="58"/>
      <c r="E33" s="25"/>
      <c r="F33" s="25"/>
      <c r="G33" s="25"/>
      <c r="H33" s="25"/>
      <c r="I33" s="25"/>
      <c r="J33" s="25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>
        <f t="shared" si="0"/>
        <v>0</v>
      </c>
      <c r="AJ33" s="11"/>
    </row>
    <row r="34" spans="1:36" ht="66.75" customHeight="1" x14ac:dyDescent="0.35">
      <c r="A34" s="22">
        <v>26</v>
      </c>
      <c r="B34" s="74" t="str" cm="1">
        <f t="array" ref="B34">TRANSPOSE('AVANCE C'!B37)</f>
        <v>PERÉZ LUQUEZ MARÍA EMILIA</v>
      </c>
      <c r="C34" s="77" t="s">
        <v>19</v>
      </c>
      <c r="D34" s="58"/>
      <c r="E34" s="25"/>
      <c r="F34" s="25"/>
      <c r="G34" s="25"/>
      <c r="H34" s="25"/>
      <c r="I34" s="25"/>
      <c r="J34" s="25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>
        <f t="shared" si="0"/>
        <v>0</v>
      </c>
      <c r="AJ34" s="11"/>
    </row>
    <row r="35" spans="1:36" ht="66.75" customHeight="1" x14ac:dyDescent="0.35">
      <c r="A35" s="22">
        <v>27</v>
      </c>
      <c r="B35" s="74" t="str" cm="1">
        <f t="array" ref="B35">TRANSPOSE('AVANCE C'!B38)</f>
        <v>QUIJADA FARIAS ISABEL CRISTINA</v>
      </c>
      <c r="C35" s="77" t="s">
        <v>19</v>
      </c>
      <c r="D35" s="58"/>
      <c r="E35" s="25"/>
      <c r="F35" s="25"/>
      <c r="G35" s="25"/>
      <c r="H35" s="25"/>
      <c r="I35" s="25"/>
      <c r="J35" s="25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>
        <f t="shared" si="0"/>
        <v>0</v>
      </c>
      <c r="AJ35" s="11"/>
    </row>
    <row r="36" spans="1:36" ht="66.75" customHeight="1" x14ac:dyDescent="0.35">
      <c r="A36" s="22">
        <v>28</v>
      </c>
      <c r="B36" s="74" t="str" cm="1">
        <f t="array" ref="B36">TRANSPOSE('AVANCE C'!B39)</f>
        <v>MANZANO MACHADO VICTORIA VALENTINA</v>
      </c>
      <c r="C36" s="77" t="s">
        <v>19</v>
      </c>
      <c r="D36" s="58"/>
      <c r="E36" s="25"/>
      <c r="F36" s="25"/>
      <c r="G36" s="25"/>
      <c r="H36" s="25"/>
      <c r="I36" s="25"/>
      <c r="J36" s="25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>
        <f t="shared" si="0"/>
        <v>0</v>
      </c>
      <c r="AJ36" s="11"/>
    </row>
    <row r="37" spans="1:36" ht="66.75" customHeight="1" x14ac:dyDescent="0.35">
      <c r="A37" s="22">
        <v>29</v>
      </c>
      <c r="B37" s="74" t="str" cm="1">
        <f t="array" ref="B37">TRANSPOSE('AVANCE C'!B40)</f>
        <v>HOMSANI SIFONTES ELIAS YOUSEF</v>
      </c>
      <c r="C37" s="77" t="s">
        <v>17</v>
      </c>
      <c r="D37" s="58"/>
      <c r="E37" s="25"/>
      <c r="F37" s="25"/>
      <c r="G37" s="25"/>
      <c r="H37" s="25"/>
      <c r="I37" s="25"/>
      <c r="J37" s="25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>
        <f t="shared" si="0"/>
        <v>0</v>
      </c>
      <c r="AJ37" s="11"/>
    </row>
    <row r="38" spans="1:36" ht="66.75" customHeight="1" x14ac:dyDescent="0.35">
      <c r="A38" s="22">
        <v>30</v>
      </c>
      <c r="B38" s="74" t="str" cm="1">
        <f t="array" ref="B38">TRANSPOSE('AVANCE C'!B41)</f>
        <v>NIEVES PRADO ALIANGEL ALESSANDRA</v>
      </c>
      <c r="C38" s="77" t="s">
        <v>19</v>
      </c>
      <c r="D38" s="58"/>
      <c r="E38" s="25"/>
      <c r="F38" s="25"/>
      <c r="G38" s="25"/>
      <c r="H38" s="25"/>
      <c r="I38" s="25"/>
      <c r="J38" s="25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>
        <f t="shared" si="0"/>
        <v>0</v>
      </c>
      <c r="AJ38" s="11"/>
    </row>
    <row r="39" spans="1:36" ht="66.75" customHeight="1" x14ac:dyDescent="0.35">
      <c r="A39" s="22">
        <v>31</v>
      </c>
      <c r="B39" s="74" t="str" cm="1">
        <f t="array" ref="B39">TRANSPOSE('AVANCE C'!B42)</f>
        <v>DE RAMOS MARTÍNEZ VICTORIA NICOLE</v>
      </c>
      <c r="C39" s="77" t="s">
        <v>19</v>
      </c>
      <c r="D39" s="58"/>
      <c r="E39" s="25"/>
      <c r="F39" s="25"/>
      <c r="G39" s="25"/>
      <c r="H39" s="25"/>
      <c r="I39" s="25"/>
      <c r="J39" s="25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>
        <f t="shared" si="0"/>
        <v>0</v>
      </c>
      <c r="AJ39" s="11"/>
    </row>
    <row r="40" spans="1:36" ht="66.75" customHeight="1" x14ac:dyDescent="0.35">
      <c r="A40" s="22">
        <v>32</v>
      </c>
      <c r="B40" s="74" t="str" cm="1">
        <f t="array" ref="B40">TRANSPOSE('AVANCE C'!B43)</f>
        <v>MALAVER ALCALÁ ARIEL SARAÍ</v>
      </c>
      <c r="C40" s="77" t="s">
        <v>19</v>
      </c>
      <c r="D40" s="58"/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>
        <f t="shared" si="0"/>
        <v>0</v>
      </c>
      <c r="AJ40" s="11"/>
    </row>
    <row r="41" spans="1:36" ht="66.75" customHeight="1" x14ac:dyDescent="0.35">
      <c r="A41" s="22">
        <v>33</v>
      </c>
      <c r="B41" s="74" t="str" cm="1">
        <f t="array" ref="B41">TRANSPOSE('AVANCE C'!B44)</f>
        <v>GUZMÁN BLANCO FRANCISCO GABRIEL</v>
      </c>
      <c r="C41" s="77" t="s">
        <v>17</v>
      </c>
      <c r="D41" s="58"/>
      <c r="E41" s="25"/>
      <c r="F41" s="25"/>
      <c r="G41" s="25"/>
      <c r="H41" s="25"/>
      <c r="I41" s="25"/>
      <c r="J41" s="25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>
        <f t="shared" si="0"/>
        <v>0</v>
      </c>
      <c r="AJ41" s="11"/>
    </row>
    <row r="42" spans="1:36" ht="66.75" customHeight="1" x14ac:dyDescent="0.35">
      <c r="A42" s="22">
        <v>34</v>
      </c>
      <c r="B42" s="74" t="str" cm="1">
        <f t="array" ref="B42">TRANSPOSE('AVANCE C'!B45)</f>
        <v>DUERTO FLORES REYSELIS NOHEMI</v>
      </c>
      <c r="C42" s="77" t="s">
        <v>19</v>
      </c>
      <c r="D42" s="58"/>
      <c r="E42" s="46"/>
      <c r="F42" s="46"/>
      <c r="G42" s="46"/>
      <c r="H42" s="46"/>
      <c r="I42" s="46"/>
      <c r="J42" s="46"/>
      <c r="K42" s="46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27">
        <f t="shared" si="0"/>
        <v>0</v>
      </c>
      <c r="AJ42" s="11"/>
    </row>
    <row r="43" spans="1:36" x14ac:dyDescent="0.35">
      <c r="B43" s="9"/>
    </row>
  </sheetData>
  <mergeCells count="41">
    <mergeCell ref="O4:O7"/>
    <mergeCell ref="AF2:AH2"/>
    <mergeCell ref="A6:B6"/>
    <mergeCell ref="AC4:AC7"/>
    <mergeCell ref="AD4:AD7"/>
    <mergeCell ref="AE4:AE7"/>
    <mergeCell ref="AF4:AF7"/>
    <mergeCell ref="Q4:Q7"/>
    <mergeCell ref="R4:R7"/>
    <mergeCell ref="S4:S7"/>
    <mergeCell ref="T4:T7"/>
    <mergeCell ref="U4:U7"/>
    <mergeCell ref="V4:V7"/>
    <mergeCell ref="K4:K7"/>
    <mergeCell ref="L4:L7"/>
    <mergeCell ref="M4:M7"/>
    <mergeCell ref="N4:N7"/>
    <mergeCell ref="AG4:AG7"/>
    <mergeCell ref="AH4:AH7"/>
    <mergeCell ref="W4:W7"/>
    <mergeCell ref="X4:X7"/>
    <mergeCell ref="Y4:Y7"/>
    <mergeCell ref="Z4:Z7"/>
    <mergeCell ref="AA4:AA7"/>
    <mergeCell ref="AB4:AB7"/>
    <mergeCell ref="P4:P7"/>
    <mergeCell ref="AI2:AI6"/>
    <mergeCell ref="D3:AH3"/>
    <mergeCell ref="C4:C7"/>
    <mergeCell ref="D4:D7"/>
    <mergeCell ref="E4:E7"/>
    <mergeCell ref="F4:F7"/>
    <mergeCell ref="G4:G7"/>
    <mergeCell ref="H4:H7"/>
    <mergeCell ref="I4:I7"/>
    <mergeCell ref="J4:J7"/>
    <mergeCell ref="D2:N2"/>
    <mergeCell ref="O2:S2"/>
    <mergeCell ref="T2:W2"/>
    <mergeCell ref="X2:Y2"/>
    <mergeCell ref="AB2:AC2"/>
  </mergeCells>
  <pageMargins left="0.19685039370078741" right="0.11811023622047245" top="0.19685039370078741" bottom="0.19685039370078741" header="0.51181102362204722" footer="0.51181102362204722"/>
  <pageSetup scale="2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5DD3-4F85-48E0-91DC-45F1A1CD0C63}">
  <sheetPr>
    <pageSetUpPr autoPageBreaks="0"/>
  </sheetPr>
  <dimension ref="A1:X53"/>
  <sheetViews>
    <sheetView view="pageBreakPreview" zoomScale="60" zoomScaleNormal="60" zoomScalePageLayoutView="80" workbookViewId="0">
      <pane xSplit="2" ySplit="11" topLeftCell="C12" activePane="bottomRight" state="frozen"/>
      <selection activeCell="M14" sqref="M14"/>
      <selection pane="topRight" activeCell="M14" sqref="M14"/>
      <selection pane="bottomLeft" activeCell="M14" sqref="M14"/>
      <selection pane="bottomRight" activeCell="E13" sqref="E13"/>
    </sheetView>
  </sheetViews>
  <sheetFormatPr baseColWidth="10" defaultColWidth="11.42578125" defaultRowHeight="16.5" x14ac:dyDescent="0.3"/>
  <cols>
    <col min="1" max="1" width="13.5703125" style="1" customWidth="1"/>
    <col min="2" max="2" width="64.140625" style="2" customWidth="1"/>
    <col min="3" max="12" width="8.7109375" style="1" customWidth="1"/>
    <col min="13" max="14" width="7.42578125" style="1" customWidth="1"/>
    <col min="15" max="15" width="10.140625" style="1" customWidth="1"/>
    <col min="16" max="16" width="7.140625" customWidth="1"/>
    <col min="17" max="18" width="7.7109375" customWidth="1"/>
    <col min="19" max="19" width="9.5703125" customWidth="1"/>
    <col min="20" max="20" width="10.42578125" customWidth="1"/>
    <col min="21" max="22" width="7.42578125" customWidth="1"/>
    <col min="23" max="23" width="7.140625" customWidth="1"/>
    <col min="24" max="24" width="39.42578125" customWidth="1"/>
  </cols>
  <sheetData>
    <row r="1" spans="1:24" ht="29.25" customHeight="1" x14ac:dyDescent="0.35">
      <c r="A1" s="3"/>
      <c r="B1" s="4"/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6" t="s">
        <v>27</v>
      </c>
      <c r="U1" s="107"/>
      <c r="V1" s="107"/>
      <c r="W1" s="107"/>
      <c r="X1" s="107"/>
    </row>
    <row r="2" spans="1:24" ht="14.1" customHeight="1" x14ac:dyDescent="0.3">
      <c r="A2" s="3"/>
      <c r="B2" s="4"/>
      <c r="C2" s="111" t="s">
        <v>26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  <c r="P2" s="117" t="s">
        <v>24</v>
      </c>
      <c r="Q2" s="119" t="s">
        <v>2</v>
      </c>
      <c r="R2" s="119"/>
      <c r="S2" s="119"/>
      <c r="T2" s="120" t="s">
        <v>3</v>
      </c>
      <c r="U2" s="84" t="s">
        <v>4</v>
      </c>
      <c r="V2" s="84" t="s">
        <v>5</v>
      </c>
      <c r="W2" s="44"/>
      <c r="X2" s="87" t="s">
        <v>6</v>
      </c>
    </row>
    <row r="3" spans="1:24" ht="20.100000000000001" customHeight="1" x14ac:dyDescent="0.3">
      <c r="A3" s="5"/>
      <c r="B3" s="51" t="s">
        <v>7</v>
      </c>
      <c r="C3" s="114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  <c r="P3" s="118"/>
      <c r="Q3" s="119"/>
      <c r="R3" s="119"/>
      <c r="S3" s="119"/>
      <c r="T3" s="120"/>
      <c r="U3" s="85"/>
      <c r="V3" s="85"/>
      <c r="W3" s="92" t="s">
        <v>1</v>
      </c>
      <c r="X3" s="87"/>
    </row>
    <row r="4" spans="1:24" ht="28.5" customHeight="1" x14ac:dyDescent="0.3">
      <c r="A4" s="6"/>
      <c r="B4" s="51" t="s">
        <v>8</v>
      </c>
      <c r="C4" s="95" t="s">
        <v>29</v>
      </c>
      <c r="D4" s="98">
        <f t="array" ref="D4">TRANSPOSE(D11)%</f>
        <v>0.1</v>
      </c>
      <c r="E4" s="95" t="s">
        <v>38</v>
      </c>
      <c r="F4" s="98">
        <f t="array" ref="F4">TRANSPOSE(F11)%</f>
        <v>0.05</v>
      </c>
      <c r="G4" s="95"/>
      <c r="H4" s="98" cm="1">
        <f t="array" ref="H4">TRANSPOSE(H11)%</f>
        <v>0</v>
      </c>
      <c r="I4" s="95"/>
      <c r="J4" s="98" cm="1">
        <f t="array" ref="J4">TRANSPOSE(J11)%</f>
        <v>0</v>
      </c>
      <c r="K4" s="95"/>
      <c r="L4" s="103" cm="1">
        <f t="array" ref="L4">TRANSPOSE(L11)%</f>
        <v>0</v>
      </c>
      <c r="M4" s="95"/>
      <c r="N4" s="103" cm="1">
        <f t="array" ref="N4">TRANSPOSE(N11)%</f>
        <v>0</v>
      </c>
      <c r="O4" s="13" t="s">
        <v>9</v>
      </c>
      <c r="P4" s="118"/>
      <c r="Q4" s="88" t="s">
        <v>10</v>
      </c>
      <c r="R4" s="88" t="s">
        <v>11</v>
      </c>
      <c r="S4" s="90" t="s">
        <v>12</v>
      </c>
      <c r="T4" s="120"/>
      <c r="U4" s="85"/>
      <c r="V4" s="85"/>
      <c r="W4" s="92"/>
      <c r="X4" s="87"/>
    </row>
    <row r="5" spans="1:24" ht="45" customHeight="1" x14ac:dyDescent="0.3">
      <c r="A5" s="101"/>
      <c r="B5" s="102"/>
      <c r="C5" s="96"/>
      <c r="D5" s="99"/>
      <c r="E5" s="96"/>
      <c r="F5" s="99"/>
      <c r="G5" s="96"/>
      <c r="H5" s="99"/>
      <c r="I5" s="96"/>
      <c r="J5" s="99"/>
      <c r="K5" s="96"/>
      <c r="L5" s="104"/>
      <c r="M5" s="96"/>
      <c r="N5" s="104"/>
      <c r="O5" s="14">
        <f>SUM(D11,F11,H11,J11,L11,N11)</f>
        <v>15</v>
      </c>
      <c r="P5" s="118"/>
      <c r="Q5" s="88"/>
      <c r="R5" s="88"/>
      <c r="S5" s="90"/>
      <c r="T5" s="120"/>
      <c r="U5" s="85"/>
      <c r="V5" s="85"/>
      <c r="W5" s="92"/>
      <c r="X5" s="87"/>
    </row>
    <row r="6" spans="1:24" ht="25.5" customHeight="1" x14ac:dyDescent="0.3">
      <c r="A6" s="52" t="s">
        <v>33</v>
      </c>
      <c r="B6" s="15"/>
      <c r="C6" s="96"/>
      <c r="D6" s="99"/>
      <c r="E6" s="96"/>
      <c r="F6" s="99"/>
      <c r="G6" s="96"/>
      <c r="H6" s="99"/>
      <c r="I6" s="96"/>
      <c r="J6" s="99"/>
      <c r="K6" s="96"/>
      <c r="L6" s="104"/>
      <c r="M6" s="96"/>
      <c r="N6" s="104"/>
      <c r="O6" s="103" t="s">
        <v>13</v>
      </c>
      <c r="P6" s="118"/>
      <c r="Q6" s="88"/>
      <c r="R6" s="88"/>
      <c r="S6" s="90"/>
      <c r="T6" s="120"/>
      <c r="U6" s="85"/>
      <c r="V6" s="85"/>
      <c r="W6" s="92"/>
      <c r="X6" s="87"/>
    </row>
    <row r="7" spans="1:24" ht="25.5" customHeight="1" x14ac:dyDescent="0.3">
      <c r="A7" s="52" t="s">
        <v>34</v>
      </c>
      <c r="B7" s="53" t="s">
        <v>44</v>
      </c>
      <c r="C7" s="96"/>
      <c r="D7" s="99"/>
      <c r="E7" s="96"/>
      <c r="F7" s="99"/>
      <c r="G7" s="96"/>
      <c r="H7" s="99"/>
      <c r="I7" s="96"/>
      <c r="J7" s="99"/>
      <c r="K7" s="96"/>
      <c r="L7" s="104"/>
      <c r="M7" s="96"/>
      <c r="N7" s="104"/>
      <c r="O7" s="110"/>
      <c r="P7" s="118"/>
      <c r="Q7" s="88"/>
      <c r="R7" s="88"/>
      <c r="S7" s="90"/>
      <c r="T7" s="120"/>
      <c r="U7" s="85"/>
      <c r="V7" s="85"/>
      <c r="W7" s="92"/>
      <c r="X7" s="87"/>
    </row>
    <row r="8" spans="1:24" ht="25.5" customHeight="1" x14ac:dyDescent="0.3">
      <c r="A8" s="52" t="s">
        <v>35</v>
      </c>
      <c r="B8" s="53" t="s">
        <v>37</v>
      </c>
      <c r="C8" s="96"/>
      <c r="D8" s="99"/>
      <c r="E8" s="96"/>
      <c r="F8" s="99"/>
      <c r="G8" s="96"/>
      <c r="H8" s="99"/>
      <c r="I8" s="96"/>
      <c r="J8" s="99"/>
      <c r="K8" s="96"/>
      <c r="L8" s="104"/>
      <c r="M8" s="96"/>
      <c r="N8" s="104"/>
      <c r="O8" s="110"/>
      <c r="P8" s="118"/>
      <c r="Q8" s="88"/>
      <c r="R8" s="88"/>
      <c r="S8" s="90"/>
      <c r="T8" s="120"/>
      <c r="U8" s="85"/>
      <c r="V8" s="85"/>
      <c r="W8" s="92"/>
      <c r="X8" s="87"/>
    </row>
    <row r="9" spans="1:24" ht="25.5" customHeight="1" x14ac:dyDescent="0.3">
      <c r="A9" s="52" t="s">
        <v>36</v>
      </c>
      <c r="B9" s="15" t="s">
        <v>38</v>
      </c>
      <c r="C9" s="96"/>
      <c r="D9" s="99"/>
      <c r="E9" s="96"/>
      <c r="F9" s="99"/>
      <c r="G9" s="96"/>
      <c r="H9" s="99"/>
      <c r="I9" s="96"/>
      <c r="J9" s="99"/>
      <c r="K9" s="96"/>
      <c r="L9" s="104"/>
      <c r="M9" s="96"/>
      <c r="N9" s="104"/>
      <c r="O9" s="110"/>
      <c r="P9" s="118"/>
      <c r="Q9" s="88"/>
      <c r="R9" s="88"/>
      <c r="S9" s="90"/>
      <c r="T9" s="120"/>
      <c r="U9" s="85"/>
      <c r="V9" s="85"/>
      <c r="W9" s="92"/>
      <c r="X9" s="87"/>
    </row>
    <row r="10" spans="1:24" ht="20.25" x14ac:dyDescent="0.3">
      <c r="A10" s="93" t="s">
        <v>30</v>
      </c>
      <c r="B10" s="94"/>
      <c r="C10" s="97"/>
      <c r="D10" s="100"/>
      <c r="E10" s="97"/>
      <c r="F10" s="100"/>
      <c r="G10" s="97"/>
      <c r="H10" s="100"/>
      <c r="I10" s="97"/>
      <c r="J10" s="100"/>
      <c r="K10" s="97"/>
      <c r="L10" s="105"/>
      <c r="M10" s="97"/>
      <c r="N10" s="105"/>
      <c r="O10" s="110"/>
      <c r="P10" s="118"/>
      <c r="Q10" s="88"/>
      <c r="R10" s="88"/>
      <c r="S10" s="90"/>
      <c r="T10" s="120"/>
      <c r="U10" s="85"/>
      <c r="V10" s="85"/>
      <c r="W10" s="92"/>
      <c r="X10" s="87"/>
    </row>
    <row r="11" spans="1:24" s="10" customFormat="1" ht="30.75" customHeight="1" thickBot="1" x14ac:dyDescent="0.4">
      <c r="A11" s="40" t="s">
        <v>14</v>
      </c>
      <c r="B11" s="41" t="s">
        <v>15</v>
      </c>
      <c r="C11" s="70" t="s">
        <v>16</v>
      </c>
      <c r="D11" s="71">
        <v>10</v>
      </c>
      <c r="E11" s="70" t="s">
        <v>16</v>
      </c>
      <c r="F11" s="71">
        <v>5</v>
      </c>
      <c r="G11" s="70" t="s">
        <v>16</v>
      </c>
      <c r="H11" s="71"/>
      <c r="I11" s="70" t="s">
        <v>16</v>
      </c>
      <c r="J11" s="71"/>
      <c r="K11" s="70" t="s">
        <v>16</v>
      </c>
      <c r="L11" s="71"/>
      <c r="M11" s="70" t="s">
        <v>16</v>
      </c>
      <c r="N11" s="71"/>
      <c r="O11" s="110"/>
      <c r="P11" s="118"/>
      <c r="Q11" s="89"/>
      <c r="R11" s="89"/>
      <c r="S11" s="91"/>
      <c r="T11" s="120"/>
      <c r="U11" s="86"/>
      <c r="V11" s="86"/>
      <c r="W11" s="92"/>
      <c r="X11" s="87"/>
    </row>
    <row r="12" spans="1:24" s="12" customFormat="1" ht="55.5" customHeight="1" thickBot="1" x14ac:dyDescent="0.35">
      <c r="A12" s="66">
        <v>1</v>
      </c>
      <c r="B12" s="78" t="s">
        <v>114</v>
      </c>
      <c r="C12" s="30"/>
      <c r="D12" s="31">
        <f t="shared" ref="D12:D47" si="0">N(C12)*($D$11)/100</f>
        <v>0</v>
      </c>
      <c r="E12" s="30"/>
      <c r="F12" s="31">
        <f t="shared" ref="F12:F47" si="1">N(E12)*($F$11)/100</f>
        <v>0</v>
      </c>
      <c r="G12" s="30"/>
      <c r="H12" s="31">
        <f t="shared" ref="H12:H47" si="2">N(G12)*($H$11)/100</f>
        <v>0</v>
      </c>
      <c r="I12" s="30"/>
      <c r="J12" s="31">
        <f t="shared" ref="J12:J47" si="3">N(I12)*($J$11)/100</f>
        <v>0</v>
      </c>
      <c r="K12" s="30"/>
      <c r="L12" s="31">
        <f t="shared" ref="L12:L47" si="4">N(K12)*($L$11)/100</f>
        <v>0</v>
      </c>
      <c r="M12" s="30"/>
      <c r="N12" s="31">
        <f>N(M12)*($N$11)/100</f>
        <v>0</v>
      </c>
      <c r="O12" s="42">
        <f>SUM(D12,F12,H12,J12,L12,N12)</f>
        <v>0</v>
      </c>
      <c r="P12" s="50"/>
      <c r="Q12" s="37"/>
      <c r="R12" s="37"/>
      <c r="S12" s="36">
        <f>SUM(IFERROR(VALUE(SUBSTITUTE(P12,".",",")), N(P12)),IFERROR(VALUE(SUBSTITUTE(Q12,".",",")), N(Q12)),IFERROR(VALUE(SUBSTITUTE(R12,".",",")), N(R12)))</f>
        <v>0</v>
      </c>
      <c r="T12" s="43">
        <f>SUM(O12,S12)</f>
        <v>0</v>
      </c>
      <c r="U12" s="67">
        <f>T12</f>
        <v>0</v>
      </c>
      <c r="V12" s="45"/>
      <c r="W12" s="83" cm="1">
        <f t="array" ref="W12">TRANSPOSE('ASISTENCIA D'!AI9)</f>
        <v>4</v>
      </c>
      <c r="X12" s="33"/>
    </row>
    <row r="13" spans="1:24" s="12" customFormat="1" ht="55.5" customHeight="1" thickBot="1" x14ac:dyDescent="0.35">
      <c r="A13" s="66">
        <f t="shared" ref="A13:A47" si="5">IF(B13&lt;&gt;"",A12 + 1, "")</f>
        <v>2</v>
      </c>
      <c r="B13" s="79" t="s">
        <v>115</v>
      </c>
      <c r="C13" s="30"/>
      <c r="D13" s="31">
        <f t="shared" si="0"/>
        <v>0</v>
      </c>
      <c r="E13" s="30"/>
      <c r="F13" s="31">
        <f t="shared" si="1"/>
        <v>0</v>
      </c>
      <c r="G13" s="30"/>
      <c r="H13" s="31">
        <f t="shared" si="2"/>
        <v>0</v>
      </c>
      <c r="I13" s="30"/>
      <c r="J13" s="31">
        <f t="shared" si="3"/>
        <v>0</v>
      </c>
      <c r="K13" s="30"/>
      <c r="L13" s="31">
        <f t="shared" si="4"/>
        <v>0</v>
      </c>
      <c r="M13" s="30"/>
      <c r="N13" s="31">
        <f t="shared" ref="N13:N47" si="6">N(M13)*($N$11)/100</f>
        <v>0</v>
      </c>
      <c r="O13" s="42">
        <f t="shared" ref="O13:O47" si="7">SUM(D13,F13,H13,J13,L13,N13)</f>
        <v>0</v>
      </c>
      <c r="P13" s="50"/>
      <c r="Q13" s="39"/>
      <c r="R13" s="39"/>
      <c r="S13" s="36">
        <f t="shared" ref="S13:S47" si="8">SUM(IFERROR(VALUE(SUBSTITUTE(P13,".",",")), N(P13)),IFERROR(VALUE(SUBSTITUTE(Q13,".",",")), N(Q13)),IFERROR(VALUE(SUBSTITUTE(R13,".",",")), N(R13)))</f>
        <v>0</v>
      </c>
      <c r="T13" s="43">
        <f t="shared" ref="T13:T47" si="9">SUM(O13,S13)</f>
        <v>0</v>
      </c>
      <c r="U13" s="67">
        <f t="shared" ref="U13:U47" si="10">T13</f>
        <v>0</v>
      </c>
      <c r="V13" s="45"/>
      <c r="W13" s="83" cm="1">
        <f t="array" ref="W13">TRANSPOSE('ASISTENCIA D'!AI10)</f>
        <v>0</v>
      </c>
      <c r="X13" s="33"/>
    </row>
    <row r="14" spans="1:24" s="12" customFormat="1" ht="55.5" customHeight="1" thickBot="1" x14ac:dyDescent="0.35">
      <c r="A14" s="66">
        <f t="shared" si="5"/>
        <v>3</v>
      </c>
      <c r="B14" s="79" t="s">
        <v>116</v>
      </c>
      <c r="C14" s="30"/>
      <c r="D14" s="31">
        <f t="shared" si="0"/>
        <v>0</v>
      </c>
      <c r="E14" s="30"/>
      <c r="F14" s="31">
        <f t="shared" si="1"/>
        <v>0</v>
      </c>
      <c r="G14" s="30"/>
      <c r="H14" s="31">
        <f t="shared" si="2"/>
        <v>0</v>
      </c>
      <c r="I14" s="30"/>
      <c r="J14" s="31">
        <f t="shared" si="3"/>
        <v>0</v>
      </c>
      <c r="K14" s="30"/>
      <c r="L14" s="31">
        <f t="shared" si="4"/>
        <v>0</v>
      </c>
      <c r="M14" s="30"/>
      <c r="N14" s="31">
        <f t="shared" si="6"/>
        <v>0</v>
      </c>
      <c r="O14" s="42">
        <f t="shared" si="7"/>
        <v>0</v>
      </c>
      <c r="P14" s="50"/>
      <c r="Q14" s="39"/>
      <c r="R14" s="37"/>
      <c r="S14" s="36">
        <f t="shared" si="8"/>
        <v>0</v>
      </c>
      <c r="T14" s="43">
        <f t="shared" si="9"/>
        <v>0</v>
      </c>
      <c r="U14" s="67">
        <f t="shared" si="10"/>
        <v>0</v>
      </c>
      <c r="V14" s="45"/>
      <c r="W14" s="83" cm="1">
        <f t="array" ref="W14">TRANSPOSE('ASISTENCIA D'!AI11)</f>
        <v>0</v>
      </c>
      <c r="X14" s="33"/>
    </row>
    <row r="15" spans="1:24" s="12" customFormat="1" ht="55.5" customHeight="1" thickBot="1" x14ac:dyDescent="0.35">
      <c r="A15" s="66">
        <f t="shared" si="5"/>
        <v>4</v>
      </c>
      <c r="B15" s="79" t="s">
        <v>117</v>
      </c>
      <c r="C15" s="30"/>
      <c r="D15" s="31">
        <f t="shared" si="0"/>
        <v>0</v>
      </c>
      <c r="E15" s="30"/>
      <c r="F15" s="31">
        <f t="shared" si="1"/>
        <v>0</v>
      </c>
      <c r="G15" s="30"/>
      <c r="H15" s="31">
        <f t="shared" si="2"/>
        <v>0</v>
      </c>
      <c r="I15" s="30"/>
      <c r="J15" s="31">
        <f t="shared" si="3"/>
        <v>0</v>
      </c>
      <c r="K15" s="30"/>
      <c r="L15" s="31">
        <f t="shared" si="4"/>
        <v>0</v>
      </c>
      <c r="M15" s="30"/>
      <c r="N15" s="31">
        <f t="shared" si="6"/>
        <v>0</v>
      </c>
      <c r="O15" s="42">
        <f t="shared" si="7"/>
        <v>0</v>
      </c>
      <c r="P15" s="50"/>
      <c r="Q15" s="39"/>
      <c r="R15" s="39"/>
      <c r="S15" s="36">
        <f t="shared" si="8"/>
        <v>0</v>
      </c>
      <c r="T15" s="43">
        <f t="shared" si="9"/>
        <v>0</v>
      </c>
      <c r="U15" s="67">
        <f t="shared" si="10"/>
        <v>0</v>
      </c>
      <c r="V15" s="45"/>
      <c r="W15" s="83" cm="1">
        <f t="array" ref="W15">TRANSPOSE('ASISTENCIA D'!AI12)</f>
        <v>0</v>
      </c>
      <c r="X15" s="33"/>
    </row>
    <row r="16" spans="1:24" s="12" customFormat="1" ht="55.5" customHeight="1" thickBot="1" x14ac:dyDescent="0.35">
      <c r="A16" s="66">
        <f t="shared" si="5"/>
        <v>5</v>
      </c>
      <c r="B16" s="79" t="s">
        <v>118</v>
      </c>
      <c r="C16" s="30"/>
      <c r="D16" s="31">
        <f t="shared" si="0"/>
        <v>0</v>
      </c>
      <c r="E16" s="30"/>
      <c r="F16" s="31">
        <f t="shared" si="1"/>
        <v>0</v>
      </c>
      <c r="G16" s="30"/>
      <c r="H16" s="31">
        <f t="shared" si="2"/>
        <v>0</v>
      </c>
      <c r="I16" s="30"/>
      <c r="J16" s="31">
        <f t="shared" si="3"/>
        <v>0</v>
      </c>
      <c r="K16" s="30"/>
      <c r="L16" s="31">
        <f t="shared" si="4"/>
        <v>0</v>
      </c>
      <c r="M16" s="30"/>
      <c r="N16" s="31">
        <f t="shared" si="6"/>
        <v>0</v>
      </c>
      <c r="O16" s="42">
        <f t="shared" si="7"/>
        <v>0</v>
      </c>
      <c r="P16" s="50"/>
      <c r="Q16" s="39"/>
      <c r="R16" s="39"/>
      <c r="S16" s="36">
        <f t="shared" si="8"/>
        <v>0</v>
      </c>
      <c r="T16" s="43">
        <f t="shared" si="9"/>
        <v>0</v>
      </c>
      <c r="U16" s="67">
        <f t="shared" si="10"/>
        <v>0</v>
      </c>
      <c r="V16" s="45"/>
      <c r="W16" s="83" cm="1">
        <f t="array" ref="W16">TRANSPOSE('ASISTENCIA D'!AI13)</f>
        <v>0</v>
      </c>
      <c r="X16" s="33"/>
    </row>
    <row r="17" spans="1:24" s="12" customFormat="1" ht="55.5" customHeight="1" thickBot="1" x14ac:dyDescent="0.35">
      <c r="A17" s="66">
        <f t="shared" si="5"/>
        <v>6</v>
      </c>
      <c r="B17" s="79" t="s">
        <v>119</v>
      </c>
      <c r="C17" s="30"/>
      <c r="D17" s="31">
        <f t="shared" si="0"/>
        <v>0</v>
      </c>
      <c r="E17" s="30"/>
      <c r="F17" s="31">
        <f t="shared" si="1"/>
        <v>0</v>
      </c>
      <c r="G17" s="30"/>
      <c r="H17" s="31">
        <f t="shared" si="2"/>
        <v>0</v>
      </c>
      <c r="I17" s="30"/>
      <c r="J17" s="31">
        <f t="shared" si="3"/>
        <v>0</v>
      </c>
      <c r="K17" s="30"/>
      <c r="L17" s="31">
        <f t="shared" si="4"/>
        <v>0</v>
      </c>
      <c r="M17" s="30"/>
      <c r="N17" s="31">
        <f t="shared" si="6"/>
        <v>0</v>
      </c>
      <c r="O17" s="42">
        <f t="shared" si="7"/>
        <v>0</v>
      </c>
      <c r="P17" s="50"/>
      <c r="Q17" s="39"/>
      <c r="R17" s="39"/>
      <c r="S17" s="36">
        <f t="shared" si="8"/>
        <v>0</v>
      </c>
      <c r="T17" s="43">
        <f t="shared" si="9"/>
        <v>0</v>
      </c>
      <c r="U17" s="67">
        <f t="shared" si="10"/>
        <v>0</v>
      </c>
      <c r="V17" s="45"/>
      <c r="W17" s="83" cm="1">
        <f t="array" ref="W17">TRANSPOSE('ASISTENCIA D'!AI14)</f>
        <v>0</v>
      </c>
      <c r="X17" s="33"/>
    </row>
    <row r="18" spans="1:24" s="12" customFormat="1" ht="55.5" customHeight="1" thickBot="1" x14ac:dyDescent="0.35">
      <c r="A18" s="66">
        <f t="shared" si="5"/>
        <v>7</v>
      </c>
      <c r="B18" s="79" t="s">
        <v>120</v>
      </c>
      <c r="C18" s="30"/>
      <c r="D18" s="31">
        <f t="shared" si="0"/>
        <v>0</v>
      </c>
      <c r="E18" s="30"/>
      <c r="F18" s="31">
        <f t="shared" si="1"/>
        <v>0</v>
      </c>
      <c r="G18" s="30"/>
      <c r="H18" s="31">
        <f t="shared" si="2"/>
        <v>0</v>
      </c>
      <c r="I18" s="30"/>
      <c r="J18" s="31">
        <f t="shared" si="3"/>
        <v>0</v>
      </c>
      <c r="K18" s="30"/>
      <c r="L18" s="31">
        <f t="shared" si="4"/>
        <v>0</v>
      </c>
      <c r="M18" s="30"/>
      <c r="N18" s="31">
        <f t="shared" si="6"/>
        <v>0</v>
      </c>
      <c r="O18" s="42">
        <f t="shared" si="7"/>
        <v>0</v>
      </c>
      <c r="P18" s="50"/>
      <c r="Q18" s="39"/>
      <c r="R18" s="39"/>
      <c r="S18" s="36">
        <f t="shared" si="8"/>
        <v>0</v>
      </c>
      <c r="T18" s="43">
        <f t="shared" si="9"/>
        <v>0</v>
      </c>
      <c r="U18" s="67">
        <f t="shared" si="10"/>
        <v>0</v>
      </c>
      <c r="V18" s="45"/>
      <c r="W18" s="83" cm="1">
        <f t="array" ref="W18">TRANSPOSE('ASISTENCIA D'!AI15)</f>
        <v>0</v>
      </c>
      <c r="X18" s="33"/>
    </row>
    <row r="19" spans="1:24" s="12" customFormat="1" ht="55.5" customHeight="1" thickBot="1" x14ac:dyDescent="0.35">
      <c r="A19" s="66">
        <f t="shared" si="5"/>
        <v>8</v>
      </c>
      <c r="B19" s="79" t="s">
        <v>121</v>
      </c>
      <c r="C19" s="30"/>
      <c r="D19" s="31">
        <f t="shared" si="0"/>
        <v>0</v>
      </c>
      <c r="E19" s="30"/>
      <c r="F19" s="31">
        <f t="shared" si="1"/>
        <v>0</v>
      </c>
      <c r="G19" s="30"/>
      <c r="H19" s="31">
        <f t="shared" si="2"/>
        <v>0</v>
      </c>
      <c r="I19" s="30"/>
      <c r="J19" s="31">
        <f t="shared" si="3"/>
        <v>0</v>
      </c>
      <c r="K19" s="30"/>
      <c r="L19" s="31">
        <f t="shared" si="4"/>
        <v>0</v>
      </c>
      <c r="M19" s="30"/>
      <c r="N19" s="31">
        <f t="shared" si="6"/>
        <v>0</v>
      </c>
      <c r="O19" s="42">
        <f t="shared" si="7"/>
        <v>0</v>
      </c>
      <c r="P19" s="50"/>
      <c r="Q19" s="39"/>
      <c r="R19" s="39"/>
      <c r="S19" s="36">
        <f t="shared" si="8"/>
        <v>0</v>
      </c>
      <c r="T19" s="43">
        <f t="shared" si="9"/>
        <v>0</v>
      </c>
      <c r="U19" s="67">
        <f t="shared" si="10"/>
        <v>0</v>
      </c>
      <c r="V19" s="45"/>
      <c r="W19" s="83" cm="1">
        <f t="array" ref="W19">TRANSPOSE('ASISTENCIA D'!AI16)</f>
        <v>0</v>
      </c>
      <c r="X19" s="33"/>
    </row>
    <row r="20" spans="1:24" s="12" customFormat="1" ht="55.5" customHeight="1" thickBot="1" x14ac:dyDescent="0.35">
      <c r="A20" s="66">
        <f t="shared" si="5"/>
        <v>9</v>
      </c>
      <c r="B20" s="79" t="s">
        <v>122</v>
      </c>
      <c r="C20" s="30"/>
      <c r="D20" s="31">
        <f t="shared" si="0"/>
        <v>0</v>
      </c>
      <c r="E20" s="30"/>
      <c r="F20" s="31">
        <f t="shared" si="1"/>
        <v>0</v>
      </c>
      <c r="G20" s="30"/>
      <c r="H20" s="31">
        <f t="shared" si="2"/>
        <v>0</v>
      </c>
      <c r="I20" s="30"/>
      <c r="J20" s="31">
        <f t="shared" si="3"/>
        <v>0</v>
      </c>
      <c r="K20" s="30"/>
      <c r="L20" s="31">
        <f t="shared" si="4"/>
        <v>0</v>
      </c>
      <c r="M20" s="30"/>
      <c r="N20" s="31">
        <f t="shared" si="6"/>
        <v>0</v>
      </c>
      <c r="O20" s="42">
        <f t="shared" si="7"/>
        <v>0</v>
      </c>
      <c r="P20" s="50"/>
      <c r="Q20" s="39"/>
      <c r="R20" s="39"/>
      <c r="S20" s="36">
        <f t="shared" si="8"/>
        <v>0</v>
      </c>
      <c r="T20" s="43">
        <f t="shared" si="9"/>
        <v>0</v>
      </c>
      <c r="U20" s="67">
        <f t="shared" si="10"/>
        <v>0</v>
      </c>
      <c r="V20" s="45"/>
      <c r="W20" s="83" cm="1">
        <f t="array" ref="W20">TRANSPOSE('ASISTENCIA D'!AI17)</f>
        <v>0</v>
      </c>
      <c r="X20" s="33"/>
    </row>
    <row r="21" spans="1:24" s="12" customFormat="1" ht="55.5" customHeight="1" thickBot="1" x14ac:dyDescent="0.35">
      <c r="A21" s="66">
        <f t="shared" si="5"/>
        <v>10</v>
      </c>
      <c r="B21" s="79" t="s">
        <v>123</v>
      </c>
      <c r="C21" s="30"/>
      <c r="D21" s="31">
        <f t="shared" si="0"/>
        <v>0</v>
      </c>
      <c r="E21" s="30"/>
      <c r="F21" s="31">
        <f t="shared" si="1"/>
        <v>0</v>
      </c>
      <c r="G21" s="30"/>
      <c r="H21" s="31">
        <f t="shared" si="2"/>
        <v>0</v>
      </c>
      <c r="I21" s="30"/>
      <c r="J21" s="31">
        <f t="shared" si="3"/>
        <v>0</v>
      </c>
      <c r="K21" s="30"/>
      <c r="L21" s="31">
        <f t="shared" si="4"/>
        <v>0</v>
      </c>
      <c r="M21" s="30"/>
      <c r="N21" s="31">
        <f t="shared" si="6"/>
        <v>0</v>
      </c>
      <c r="O21" s="42">
        <f t="shared" si="7"/>
        <v>0</v>
      </c>
      <c r="P21" s="50"/>
      <c r="Q21" s="39"/>
      <c r="R21" s="39"/>
      <c r="S21" s="36">
        <f t="shared" si="8"/>
        <v>0</v>
      </c>
      <c r="T21" s="43">
        <f t="shared" si="9"/>
        <v>0</v>
      </c>
      <c r="U21" s="67">
        <f t="shared" si="10"/>
        <v>0</v>
      </c>
      <c r="V21" s="45"/>
      <c r="W21" s="83" cm="1">
        <f t="array" ref="W21">TRANSPOSE('ASISTENCIA D'!AI18)</f>
        <v>0</v>
      </c>
      <c r="X21" s="33"/>
    </row>
    <row r="22" spans="1:24" s="12" customFormat="1" ht="55.5" customHeight="1" thickBot="1" x14ac:dyDescent="0.35">
      <c r="A22" s="66">
        <f t="shared" si="5"/>
        <v>11</v>
      </c>
      <c r="B22" s="79" t="s">
        <v>124</v>
      </c>
      <c r="C22" s="30"/>
      <c r="D22" s="31">
        <f t="shared" si="0"/>
        <v>0</v>
      </c>
      <c r="E22" s="30"/>
      <c r="F22" s="31">
        <f t="shared" si="1"/>
        <v>0</v>
      </c>
      <c r="G22" s="30"/>
      <c r="H22" s="31">
        <f t="shared" si="2"/>
        <v>0</v>
      </c>
      <c r="I22" s="30"/>
      <c r="J22" s="31">
        <f t="shared" si="3"/>
        <v>0</v>
      </c>
      <c r="K22" s="30"/>
      <c r="L22" s="31">
        <f t="shared" si="4"/>
        <v>0</v>
      </c>
      <c r="M22" s="30"/>
      <c r="N22" s="31">
        <f t="shared" si="6"/>
        <v>0</v>
      </c>
      <c r="O22" s="42">
        <f t="shared" si="7"/>
        <v>0</v>
      </c>
      <c r="P22" s="50"/>
      <c r="Q22" s="39"/>
      <c r="R22" s="39"/>
      <c r="S22" s="36">
        <f t="shared" si="8"/>
        <v>0</v>
      </c>
      <c r="T22" s="43">
        <f t="shared" si="9"/>
        <v>0</v>
      </c>
      <c r="U22" s="67">
        <f t="shared" si="10"/>
        <v>0</v>
      </c>
      <c r="V22" s="45"/>
      <c r="W22" s="83" cm="1">
        <f t="array" ref="W22">TRANSPOSE('ASISTENCIA D'!AI19)</f>
        <v>0</v>
      </c>
      <c r="X22" s="33"/>
    </row>
    <row r="23" spans="1:24" s="12" customFormat="1" ht="55.5" customHeight="1" thickBot="1" x14ac:dyDescent="0.35">
      <c r="A23" s="66">
        <f t="shared" si="5"/>
        <v>12</v>
      </c>
      <c r="B23" s="79" t="s">
        <v>125</v>
      </c>
      <c r="C23" s="30"/>
      <c r="D23" s="31">
        <f t="shared" si="0"/>
        <v>0</v>
      </c>
      <c r="E23" s="30"/>
      <c r="F23" s="31">
        <f t="shared" si="1"/>
        <v>0</v>
      </c>
      <c r="G23" s="30"/>
      <c r="H23" s="31">
        <f t="shared" si="2"/>
        <v>0</v>
      </c>
      <c r="I23" s="30"/>
      <c r="J23" s="31">
        <f t="shared" si="3"/>
        <v>0</v>
      </c>
      <c r="K23" s="30"/>
      <c r="L23" s="31">
        <f t="shared" si="4"/>
        <v>0</v>
      </c>
      <c r="M23" s="30"/>
      <c r="N23" s="31">
        <f t="shared" si="6"/>
        <v>0</v>
      </c>
      <c r="O23" s="42">
        <f t="shared" si="7"/>
        <v>0</v>
      </c>
      <c r="P23" s="50"/>
      <c r="Q23" s="39"/>
      <c r="R23" s="39"/>
      <c r="S23" s="36">
        <f t="shared" si="8"/>
        <v>0</v>
      </c>
      <c r="T23" s="43">
        <f t="shared" si="9"/>
        <v>0</v>
      </c>
      <c r="U23" s="67">
        <f t="shared" si="10"/>
        <v>0</v>
      </c>
      <c r="V23" s="45"/>
      <c r="W23" s="83" cm="1">
        <f t="array" ref="W23">TRANSPOSE('ASISTENCIA D'!AI20)</f>
        <v>0</v>
      </c>
      <c r="X23" s="33"/>
    </row>
    <row r="24" spans="1:24" s="12" customFormat="1" ht="55.5" customHeight="1" thickBot="1" x14ac:dyDescent="0.35">
      <c r="A24" s="66">
        <f t="shared" si="5"/>
        <v>13</v>
      </c>
      <c r="B24" s="79" t="s">
        <v>126</v>
      </c>
      <c r="C24" s="30"/>
      <c r="D24" s="31">
        <f t="shared" si="0"/>
        <v>0</v>
      </c>
      <c r="E24" s="30"/>
      <c r="F24" s="31">
        <f t="shared" si="1"/>
        <v>0</v>
      </c>
      <c r="G24" s="30"/>
      <c r="H24" s="31">
        <f t="shared" si="2"/>
        <v>0</v>
      </c>
      <c r="I24" s="30"/>
      <c r="J24" s="31">
        <f t="shared" si="3"/>
        <v>0</v>
      </c>
      <c r="K24" s="30"/>
      <c r="L24" s="31">
        <f t="shared" si="4"/>
        <v>0</v>
      </c>
      <c r="M24" s="30"/>
      <c r="N24" s="31">
        <f t="shared" si="6"/>
        <v>0</v>
      </c>
      <c r="O24" s="42">
        <f t="shared" si="7"/>
        <v>0</v>
      </c>
      <c r="P24" s="50"/>
      <c r="Q24" s="39"/>
      <c r="R24" s="39"/>
      <c r="S24" s="36">
        <f t="shared" si="8"/>
        <v>0</v>
      </c>
      <c r="T24" s="43">
        <f t="shared" si="9"/>
        <v>0</v>
      </c>
      <c r="U24" s="67">
        <f t="shared" si="10"/>
        <v>0</v>
      </c>
      <c r="V24" s="45"/>
      <c r="W24" s="83" cm="1">
        <f t="array" ref="W24">TRANSPOSE('ASISTENCIA D'!AI21)</f>
        <v>0</v>
      </c>
      <c r="X24" s="33"/>
    </row>
    <row r="25" spans="1:24" s="12" customFormat="1" ht="55.5" customHeight="1" thickBot="1" x14ac:dyDescent="0.35">
      <c r="A25" s="66">
        <f t="shared" si="5"/>
        <v>14</v>
      </c>
      <c r="B25" s="79" t="s">
        <v>127</v>
      </c>
      <c r="C25" s="30"/>
      <c r="D25" s="31">
        <f t="shared" si="0"/>
        <v>0</v>
      </c>
      <c r="E25" s="30"/>
      <c r="F25" s="31">
        <f t="shared" si="1"/>
        <v>0</v>
      </c>
      <c r="G25" s="30"/>
      <c r="H25" s="31">
        <f t="shared" si="2"/>
        <v>0</v>
      </c>
      <c r="I25" s="30"/>
      <c r="J25" s="31">
        <f t="shared" si="3"/>
        <v>0</v>
      </c>
      <c r="K25" s="30"/>
      <c r="L25" s="31">
        <f t="shared" si="4"/>
        <v>0</v>
      </c>
      <c r="M25" s="30"/>
      <c r="N25" s="31">
        <f t="shared" si="6"/>
        <v>0</v>
      </c>
      <c r="O25" s="42">
        <f t="shared" si="7"/>
        <v>0</v>
      </c>
      <c r="P25" s="50"/>
      <c r="Q25" s="39"/>
      <c r="R25" s="39"/>
      <c r="S25" s="36">
        <f t="shared" si="8"/>
        <v>0</v>
      </c>
      <c r="T25" s="43">
        <f t="shared" si="9"/>
        <v>0</v>
      </c>
      <c r="U25" s="67">
        <f t="shared" si="10"/>
        <v>0</v>
      </c>
      <c r="V25" s="45"/>
      <c r="W25" s="83" cm="1">
        <f t="array" ref="W25">TRANSPOSE('ASISTENCIA D'!AI22)</f>
        <v>0</v>
      </c>
      <c r="X25" s="33"/>
    </row>
    <row r="26" spans="1:24" s="12" customFormat="1" ht="55.5" customHeight="1" thickBot="1" x14ac:dyDescent="0.35">
      <c r="A26" s="66">
        <f t="shared" si="5"/>
        <v>15</v>
      </c>
      <c r="B26" s="79" t="s">
        <v>128</v>
      </c>
      <c r="C26" s="30"/>
      <c r="D26" s="31">
        <f t="shared" si="0"/>
        <v>0</v>
      </c>
      <c r="E26" s="30"/>
      <c r="F26" s="31">
        <f t="shared" si="1"/>
        <v>0</v>
      </c>
      <c r="G26" s="30"/>
      <c r="H26" s="31">
        <f t="shared" si="2"/>
        <v>0</v>
      </c>
      <c r="I26" s="30"/>
      <c r="J26" s="31">
        <f t="shared" si="3"/>
        <v>0</v>
      </c>
      <c r="K26" s="30"/>
      <c r="L26" s="31">
        <f t="shared" si="4"/>
        <v>0</v>
      </c>
      <c r="M26" s="30"/>
      <c r="N26" s="31">
        <f t="shared" si="6"/>
        <v>0</v>
      </c>
      <c r="O26" s="42">
        <f t="shared" si="7"/>
        <v>0</v>
      </c>
      <c r="P26" s="50"/>
      <c r="Q26" s="39"/>
      <c r="R26" s="39"/>
      <c r="S26" s="36">
        <f t="shared" si="8"/>
        <v>0</v>
      </c>
      <c r="T26" s="43">
        <f t="shared" si="9"/>
        <v>0</v>
      </c>
      <c r="U26" s="67">
        <f t="shared" si="10"/>
        <v>0</v>
      </c>
      <c r="V26" s="45"/>
      <c r="W26" s="83" cm="1">
        <f t="array" ref="W26">TRANSPOSE('ASISTENCIA D'!AI23)</f>
        <v>0</v>
      </c>
      <c r="X26" s="33"/>
    </row>
    <row r="27" spans="1:24" s="12" customFormat="1" ht="55.5" customHeight="1" thickBot="1" x14ac:dyDescent="0.35">
      <c r="A27" s="66">
        <f t="shared" si="5"/>
        <v>16</v>
      </c>
      <c r="B27" s="79" t="s">
        <v>129</v>
      </c>
      <c r="C27" s="30"/>
      <c r="D27" s="31">
        <f t="shared" si="0"/>
        <v>0</v>
      </c>
      <c r="E27" s="30"/>
      <c r="F27" s="31">
        <f t="shared" si="1"/>
        <v>0</v>
      </c>
      <c r="G27" s="30"/>
      <c r="H27" s="31">
        <f t="shared" si="2"/>
        <v>0</v>
      </c>
      <c r="I27" s="30"/>
      <c r="J27" s="31">
        <f t="shared" si="3"/>
        <v>0</v>
      </c>
      <c r="K27" s="30"/>
      <c r="L27" s="31">
        <f t="shared" si="4"/>
        <v>0</v>
      </c>
      <c r="M27" s="30"/>
      <c r="N27" s="31">
        <f t="shared" si="6"/>
        <v>0</v>
      </c>
      <c r="O27" s="42">
        <f t="shared" si="7"/>
        <v>0</v>
      </c>
      <c r="P27" s="50"/>
      <c r="Q27" s="39"/>
      <c r="R27" s="39"/>
      <c r="S27" s="36">
        <f t="shared" si="8"/>
        <v>0</v>
      </c>
      <c r="T27" s="43">
        <f t="shared" si="9"/>
        <v>0</v>
      </c>
      <c r="U27" s="67">
        <f t="shared" si="10"/>
        <v>0</v>
      </c>
      <c r="V27" s="45"/>
      <c r="W27" s="83" cm="1">
        <f t="array" ref="W27">TRANSPOSE('ASISTENCIA D'!AI24)</f>
        <v>0</v>
      </c>
      <c r="X27" s="33"/>
    </row>
    <row r="28" spans="1:24" s="12" customFormat="1" ht="55.5" customHeight="1" thickBot="1" x14ac:dyDescent="0.35">
      <c r="A28" s="66">
        <f t="shared" si="5"/>
        <v>17</v>
      </c>
      <c r="B28" s="79" t="s">
        <v>130</v>
      </c>
      <c r="C28" s="30"/>
      <c r="D28" s="31">
        <f t="shared" si="0"/>
        <v>0</v>
      </c>
      <c r="E28" s="30"/>
      <c r="F28" s="31">
        <f t="shared" si="1"/>
        <v>0</v>
      </c>
      <c r="G28" s="30"/>
      <c r="H28" s="31">
        <f t="shared" si="2"/>
        <v>0</v>
      </c>
      <c r="I28" s="30"/>
      <c r="J28" s="31">
        <f t="shared" si="3"/>
        <v>0</v>
      </c>
      <c r="K28" s="30"/>
      <c r="L28" s="31">
        <f t="shared" si="4"/>
        <v>0</v>
      </c>
      <c r="M28" s="30"/>
      <c r="N28" s="31">
        <f t="shared" si="6"/>
        <v>0</v>
      </c>
      <c r="O28" s="42">
        <f t="shared" si="7"/>
        <v>0</v>
      </c>
      <c r="P28" s="50"/>
      <c r="Q28" s="39"/>
      <c r="R28" s="39"/>
      <c r="S28" s="36">
        <f t="shared" si="8"/>
        <v>0</v>
      </c>
      <c r="T28" s="43">
        <f t="shared" si="9"/>
        <v>0</v>
      </c>
      <c r="U28" s="67">
        <f t="shared" si="10"/>
        <v>0</v>
      </c>
      <c r="V28" s="45"/>
      <c r="W28" s="83" cm="1">
        <f t="array" ref="W28">TRANSPOSE('ASISTENCIA D'!AI25)</f>
        <v>0</v>
      </c>
      <c r="X28" s="33"/>
    </row>
    <row r="29" spans="1:24" s="12" customFormat="1" ht="55.5" customHeight="1" thickBot="1" x14ac:dyDescent="0.35">
      <c r="A29" s="66">
        <f t="shared" si="5"/>
        <v>18</v>
      </c>
      <c r="B29" s="79" t="s">
        <v>131</v>
      </c>
      <c r="C29" s="30"/>
      <c r="D29" s="31">
        <f t="shared" si="0"/>
        <v>0</v>
      </c>
      <c r="E29" s="30"/>
      <c r="F29" s="31">
        <f t="shared" si="1"/>
        <v>0</v>
      </c>
      <c r="G29" s="30"/>
      <c r="H29" s="31">
        <f t="shared" si="2"/>
        <v>0</v>
      </c>
      <c r="I29" s="30"/>
      <c r="J29" s="31">
        <f t="shared" si="3"/>
        <v>0</v>
      </c>
      <c r="K29" s="30"/>
      <c r="L29" s="31">
        <f t="shared" si="4"/>
        <v>0</v>
      </c>
      <c r="M29" s="30"/>
      <c r="N29" s="31">
        <f t="shared" si="6"/>
        <v>0</v>
      </c>
      <c r="O29" s="42">
        <f t="shared" si="7"/>
        <v>0</v>
      </c>
      <c r="P29" s="50"/>
      <c r="Q29" s="39"/>
      <c r="R29" s="39"/>
      <c r="S29" s="36">
        <f t="shared" si="8"/>
        <v>0</v>
      </c>
      <c r="T29" s="43">
        <f t="shared" si="9"/>
        <v>0</v>
      </c>
      <c r="U29" s="67">
        <f t="shared" si="10"/>
        <v>0</v>
      </c>
      <c r="V29" s="45"/>
      <c r="W29" s="83" cm="1">
        <f t="array" ref="W29">TRANSPOSE('ASISTENCIA D'!AI26)</f>
        <v>0</v>
      </c>
      <c r="X29" s="33"/>
    </row>
    <row r="30" spans="1:24" s="12" customFormat="1" ht="55.5" customHeight="1" thickBot="1" x14ac:dyDescent="0.35">
      <c r="A30" s="66">
        <f t="shared" si="5"/>
        <v>19</v>
      </c>
      <c r="B30" s="79" t="s">
        <v>132</v>
      </c>
      <c r="C30" s="30"/>
      <c r="D30" s="31">
        <f t="shared" si="0"/>
        <v>0</v>
      </c>
      <c r="E30" s="30"/>
      <c r="F30" s="31">
        <f t="shared" si="1"/>
        <v>0</v>
      </c>
      <c r="G30" s="30"/>
      <c r="H30" s="31">
        <f t="shared" si="2"/>
        <v>0</v>
      </c>
      <c r="I30" s="30"/>
      <c r="J30" s="31">
        <f t="shared" si="3"/>
        <v>0</v>
      </c>
      <c r="K30" s="30"/>
      <c r="L30" s="31">
        <f t="shared" si="4"/>
        <v>0</v>
      </c>
      <c r="M30" s="30"/>
      <c r="N30" s="31">
        <f t="shared" si="6"/>
        <v>0</v>
      </c>
      <c r="O30" s="42">
        <f t="shared" si="7"/>
        <v>0</v>
      </c>
      <c r="P30" s="50"/>
      <c r="Q30" s="39"/>
      <c r="R30" s="39"/>
      <c r="S30" s="36">
        <f t="shared" si="8"/>
        <v>0</v>
      </c>
      <c r="T30" s="43">
        <f t="shared" si="9"/>
        <v>0</v>
      </c>
      <c r="U30" s="67">
        <f t="shared" si="10"/>
        <v>0</v>
      </c>
      <c r="V30" s="45"/>
      <c r="W30" s="83" cm="1">
        <f t="array" ref="W30">TRANSPOSE('ASISTENCIA D'!AI27)</f>
        <v>0</v>
      </c>
      <c r="X30" s="33"/>
    </row>
    <row r="31" spans="1:24" s="12" customFormat="1" ht="55.5" customHeight="1" thickBot="1" x14ac:dyDescent="0.35">
      <c r="A31" s="66">
        <f t="shared" si="5"/>
        <v>20</v>
      </c>
      <c r="B31" s="79" t="s">
        <v>133</v>
      </c>
      <c r="C31" s="30"/>
      <c r="D31" s="31">
        <f t="shared" si="0"/>
        <v>0</v>
      </c>
      <c r="E31" s="30"/>
      <c r="F31" s="31">
        <f t="shared" si="1"/>
        <v>0</v>
      </c>
      <c r="G31" s="30"/>
      <c r="H31" s="31">
        <f t="shared" si="2"/>
        <v>0</v>
      </c>
      <c r="I31" s="30"/>
      <c r="J31" s="31">
        <f t="shared" si="3"/>
        <v>0</v>
      </c>
      <c r="K31" s="30"/>
      <c r="L31" s="31">
        <f t="shared" si="4"/>
        <v>0</v>
      </c>
      <c r="M31" s="30"/>
      <c r="N31" s="31">
        <f t="shared" si="6"/>
        <v>0</v>
      </c>
      <c r="O31" s="42">
        <f t="shared" si="7"/>
        <v>0</v>
      </c>
      <c r="P31" s="50"/>
      <c r="Q31" s="39"/>
      <c r="R31" s="39"/>
      <c r="S31" s="36">
        <f t="shared" si="8"/>
        <v>0</v>
      </c>
      <c r="T31" s="43">
        <f t="shared" si="9"/>
        <v>0</v>
      </c>
      <c r="U31" s="67">
        <f t="shared" si="10"/>
        <v>0</v>
      </c>
      <c r="V31" s="45"/>
      <c r="W31" s="83" cm="1">
        <f t="array" ref="W31">TRANSPOSE('ASISTENCIA D'!AI28)</f>
        <v>0</v>
      </c>
      <c r="X31" s="33"/>
    </row>
    <row r="32" spans="1:24" s="12" customFormat="1" ht="55.5" customHeight="1" thickBot="1" x14ac:dyDescent="0.35">
      <c r="A32" s="66">
        <f t="shared" si="5"/>
        <v>21</v>
      </c>
      <c r="B32" s="79" t="s">
        <v>134</v>
      </c>
      <c r="C32" s="30"/>
      <c r="D32" s="31">
        <f t="shared" si="0"/>
        <v>0</v>
      </c>
      <c r="E32" s="30"/>
      <c r="F32" s="31">
        <f t="shared" si="1"/>
        <v>0</v>
      </c>
      <c r="G32" s="30"/>
      <c r="H32" s="31">
        <f t="shared" si="2"/>
        <v>0</v>
      </c>
      <c r="I32" s="30"/>
      <c r="J32" s="31">
        <f t="shared" si="3"/>
        <v>0</v>
      </c>
      <c r="K32" s="30"/>
      <c r="L32" s="31">
        <f t="shared" si="4"/>
        <v>0</v>
      </c>
      <c r="M32" s="30"/>
      <c r="N32" s="31">
        <f t="shared" si="6"/>
        <v>0</v>
      </c>
      <c r="O32" s="42">
        <f t="shared" si="7"/>
        <v>0</v>
      </c>
      <c r="P32" s="50"/>
      <c r="Q32" s="39"/>
      <c r="R32" s="39"/>
      <c r="S32" s="36">
        <f t="shared" si="8"/>
        <v>0</v>
      </c>
      <c r="T32" s="43">
        <f t="shared" si="9"/>
        <v>0</v>
      </c>
      <c r="U32" s="67">
        <f t="shared" si="10"/>
        <v>0</v>
      </c>
      <c r="V32" s="45"/>
      <c r="W32" s="83" cm="1">
        <f t="array" ref="W32">TRANSPOSE('ASISTENCIA D'!AI29)</f>
        <v>0</v>
      </c>
      <c r="X32" s="33"/>
    </row>
    <row r="33" spans="1:24" s="12" customFormat="1" ht="55.5" customHeight="1" thickBot="1" x14ac:dyDescent="0.35">
      <c r="A33" s="66">
        <f t="shared" si="5"/>
        <v>22</v>
      </c>
      <c r="B33" s="79" t="s">
        <v>135</v>
      </c>
      <c r="C33" s="30"/>
      <c r="D33" s="31">
        <f t="shared" si="0"/>
        <v>0</v>
      </c>
      <c r="E33" s="30"/>
      <c r="F33" s="31">
        <f t="shared" si="1"/>
        <v>0</v>
      </c>
      <c r="G33" s="30"/>
      <c r="H33" s="31">
        <f t="shared" si="2"/>
        <v>0</v>
      </c>
      <c r="I33" s="30"/>
      <c r="J33" s="31">
        <f t="shared" si="3"/>
        <v>0</v>
      </c>
      <c r="K33" s="30"/>
      <c r="L33" s="31">
        <f t="shared" si="4"/>
        <v>0</v>
      </c>
      <c r="M33" s="30"/>
      <c r="N33" s="31">
        <f t="shared" si="6"/>
        <v>0</v>
      </c>
      <c r="O33" s="42">
        <f t="shared" si="7"/>
        <v>0</v>
      </c>
      <c r="P33" s="50"/>
      <c r="Q33" s="39"/>
      <c r="R33" s="39"/>
      <c r="S33" s="36">
        <f t="shared" si="8"/>
        <v>0</v>
      </c>
      <c r="T33" s="43">
        <f t="shared" si="9"/>
        <v>0</v>
      </c>
      <c r="U33" s="67">
        <f t="shared" si="10"/>
        <v>0</v>
      </c>
      <c r="V33" s="45"/>
      <c r="W33" s="83" cm="1">
        <f t="array" ref="W33">TRANSPOSE('ASISTENCIA D'!AI30)</f>
        <v>0</v>
      </c>
      <c r="X33" s="33"/>
    </row>
    <row r="34" spans="1:24" s="12" customFormat="1" ht="55.5" customHeight="1" thickBot="1" x14ac:dyDescent="0.35">
      <c r="A34" s="66">
        <f t="shared" si="5"/>
        <v>23</v>
      </c>
      <c r="B34" s="79" t="s">
        <v>136</v>
      </c>
      <c r="C34" s="30"/>
      <c r="D34" s="31">
        <f t="shared" si="0"/>
        <v>0</v>
      </c>
      <c r="E34" s="30"/>
      <c r="F34" s="31">
        <f t="shared" si="1"/>
        <v>0</v>
      </c>
      <c r="G34" s="30"/>
      <c r="H34" s="31">
        <f t="shared" si="2"/>
        <v>0</v>
      </c>
      <c r="I34" s="30"/>
      <c r="J34" s="31">
        <f t="shared" si="3"/>
        <v>0</v>
      </c>
      <c r="K34" s="30"/>
      <c r="L34" s="31">
        <f t="shared" si="4"/>
        <v>0</v>
      </c>
      <c r="M34" s="30"/>
      <c r="N34" s="31">
        <f t="shared" si="6"/>
        <v>0</v>
      </c>
      <c r="O34" s="42">
        <f t="shared" si="7"/>
        <v>0</v>
      </c>
      <c r="P34" s="50"/>
      <c r="Q34" s="39"/>
      <c r="R34" s="39"/>
      <c r="S34" s="36">
        <f t="shared" si="8"/>
        <v>0</v>
      </c>
      <c r="T34" s="43">
        <f t="shared" si="9"/>
        <v>0</v>
      </c>
      <c r="U34" s="67">
        <f t="shared" si="10"/>
        <v>0</v>
      </c>
      <c r="V34" s="45"/>
      <c r="W34" s="83" cm="1">
        <f t="array" ref="W34">TRANSPOSE('ASISTENCIA D'!AI31)</f>
        <v>0</v>
      </c>
      <c r="X34" s="33"/>
    </row>
    <row r="35" spans="1:24" s="12" customFormat="1" ht="55.5" customHeight="1" thickBot="1" x14ac:dyDescent="0.35">
      <c r="A35" s="66">
        <f t="shared" si="5"/>
        <v>24</v>
      </c>
      <c r="B35" s="79" t="s">
        <v>137</v>
      </c>
      <c r="C35" s="30"/>
      <c r="D35" s="31">
        <f t="shared" si="0"/>
        <v>0</v>
      </c>
      <c r="E35" s="30"/>
      <c r="F35" s="31">
        <f t="shared" si="1"/>
        <v>0</v>
      </c>
      <c r="G35" s="30"/>
      <c r="H35" s="31">
        <f t="shared" si="2"/>
        <v>0</v>
      </c>
      <c r="I35" s="30"/>
      <c r="J35" s="31">
        <f t="shared" si="3"/>
        <v>0</v>
      </c>
      <c r="K35" s="30"/>
      <c r="L35" s="31">
        <f t="shared" si="4"/>
        <v>0</v>
      </c>
      <c r="M35" s="30"/>
      <c r="N35" s="31">
        <f t="shared" si="6"/>
        <v>0</v>
      </c>
      <c r="O35" s="42">
        <f t="shared" si="7"/>
        <v>0</v>
      </c>
      <c r="P35" s="50"/>
      <c r="Q35" s="39"/>
      <c r="R35" s="39"/>
      <c r="S35" s="36">
        <f t="shared" si="8"/>
        <v>0</v>
      </c>
      <c r="T35" s="43">
        <f t="shared" si="9"/>
        <v>0</v>
      </c>
      <c r="U35" s="67">
        <f t="shared" si="10"/>
        <v>0</v>
      </c>
      <c r="V35" s="45"/>
      <c r="W35" s="83" cm="1">
        <f t="array" ref="W35">TRANSPOSE('ASISTENCIA D'!AI32)</f>
        <v>0</v>
      </c>
      <c r="X35" s="33"/>
    </row>
    <row r="36" spans="1:24" s="12" customFormat="1" ht="55.5" customHeight="1" thickBot="1" x14ac:dyDescent="0.35">
      <c r="A36" s="66">
        <f t="shared" si="5"/>
        <v>25</v>
      </c>
      <c r="B36" s="79" t="s">
        <v>138</v>
      </c>
      <c r="C36" s="30"/>
      <c r="D36" s="31">
        <f t="shared" si="0"/>
        <v>0</v>
      </c>
      <c r="E36" s="30"/>
      <c r="F36" s="31">
        <f t="shared" si="1"/>
        <v>0</v>
      </c>
      <c r="G36" s="30"/>
      <c r="H36" s="31">
        <f t="shared" si="2"/>
        <v>0</v>
      </c>
      <c r="I36" s="30"/>
      <c r="J36" s="31">
        <f t="shared" si="3"/>
        <v>0</v>
      </c>
      <c r="K36" s="30"/>
      <c r="L36" s="31">
        <f t="shared" si="4"/>
        <v>0</v>
      </c>
      <c r="M36" s="30"/>
      <c r="N36" s="31">
        <f t="shared" si="6"/>
        <v>0</v>
      </c>
      <c r="O36" s="42">
        <f t="shared" si="7"/>
        <v>0</v>
      </c>
      <c r="P36" s="50"/>
      <c r="Q36" s="39"/>
      <c r="R36" s="39"/>
      <c r="S36" s="36">
        <f t="shared" si="8"/>
        <v>0</v>
      </c>
      <c r="T36" s="43">
        <f t="shared" si="9"/>
        <v>0</v>
      </c>
      <c r="U36" s="67">
        <f t="shared" si="10"/>
        <v>0</v>
      </c>
      <c r="V36" s="45"/>
      <c r="W36" s="83" cm="1">
        <f t="array" ref="W36">TRANSPOSE('ASISTENCIA D'!AI33)</f>
        <v>0</v>
      </c>
      <c r="X36" s="33"/>
    </row>
    <row r="37" spans="1:24" s="12" customFormat="1" ht="55.5" customHeight="1" thickBot="1" x14ac:dyDescent="0.35">
      <c r="A37" s="66">
        <f t="shared" si="5"/>
        <v>26</v>
      </c>
      <c r="B37" s="79" t="s">
        <v>139</v>
      </c>
      <c r="C37" s="30"/>
      <c r="D37" s="31">
        <f t="shared" si="0"/>
        <v>0</v>
      </c>
      <c r="E37" s="30"/>
      <c r="F37" s="31">
        <f t="shared" si="1"/>
        <v>0</v>
      </c>
      <c r="G37" s="30"/>
      <c r="H37" s="31">
        <f t="shared" si="2"/>
        <v>0</v>
      </c>
      <c r="I37" s="30"/>
      <c r="J37" s="31">
        <f t="shared" si="3"/>
        <v>0</v>
      </c>
      <c r="K37" s="30"/>
      <c r="L37" s="31">
        <f t="shared" si="4"/>
        <v>0</v>
      </c>
      <c r="M37" s="30"/>
      <c r="N37" s="31">
        <f t="shared" si="6"/>
        <v>0</v>
      </c>
      <c r="O37" s="42">
        <f t="shared" si="7"/>
        <v>0</v>
      </c>
      <c r="P37" s="50"/>
      <c r="Q37" s="39"/>
      <c r="R37" s="39"/>
      <c r="S37" s="36">
        <f t="shared" si="8"/>
        <v>0</v>
      </c>
      <c r="T37" s="43">
        <f t="shared" si="9"/>
        <v>0</v>
      </c>
      <c r="U37" s="67">
        <f t="shared" si="10"/>
        <v>0</v>
      </c>
      <c r="V37" s="45"/>
      <c r="W37" s="83" cm="1">
        <f t="array" ref="W37">TRANSPOSE('ASISTENCIA D'!AI34)</f>
        <v>0</v>
      </c>
      <c r="X37" s="33"/>
    </row>
    <row r="38" spans="1:24" s="12" customFormat="1" ht="55.5" customHeight="1" thickBot="1" x14ac:dyDescent="0.35">
      <c r="A38" s="66">
        <f t="shared" si="5"/>
        <v>27</v>
      </c>
      <c r="B38" s="79" t="s">
        <v>140</v>
      </c>
      <c r="C38" s="30"/>
      <c r="D38" s="31">
        <f t="shared" si="0"/>
        <v>0</v>
      </c>
      <c r="E38" s="30"/>
      <c r="F38" s="31">
        <f t="shared" si="1"/>
        <v>0</v>
      </c>
      <c r="G38" s="30"/>
      <c r="H38" s="31">
        <f t="shared" si="2"/>
        <v>0</v>
      </c>
      <c r="I38" s="30"/>
      <c r="J38" s="31">
        <f t="shared" si="3"/>
        <v>0</v>
      </c>
      <c r="K38" s="30"/>
      <c r="L38" s="31">
        <f t="shared" si="4"/>
        <v>0</v>
      </c>
      <c r="M38" s="30"/>
      <c r="N38" s="31">
        <f t="shared" si="6"/>
        <v>0</v>
      </c>
      <c r="O38" s="42">
        <f t="shared" si="7"/>
        <v>0</v>
      </c>
      <c r="P38" s="50"/>
      <c r="Q38" s="39"/>
      <c r="R38" s="39"/>
      <c r="S38" s="36">
        <f t="shared" si="8"/>
        <v>0</v>
      </c>
      <c r="T38" s="43">
        <f t="shared" si="9"/>
        <v>0</v>
      </c>
      <c r="U38" s="67">
        <f t="shared" si="10"/>
        <v>0</v>
      </c>
      <c r="V38" s="45"/>
      <c r="W38" s="83" cm="1">
        <f t="array" ref="W38">TRANSPOSE('ASISTENCIA D'!AI35)</f>
        <v>0</v>
      </c>
      <c r="X38" s="33"/>
    </row>
    <row r="39" spans="1:24" s="12" customFormat="1" ht="55.5" customHeight="1" thickBot="1" x14ac:dyDescent="0.35">
      <c r="A39" s="66">
        <f t="shared" si="5"/>
        <v>28</v>
      </c>
      <c r="B39" s="79" t="s">
        <v>141</v>
      </c>
      <c r="C39" s="30"/>
      <c r="D39" s="31">
        <f t="shared" si="0"/>
        <v>0</v>
      </c>
      <c r="E39" s="30"/>
      <c r="F39" s="31">
        <f t="shared" si="1"/>
        <v>0</v>
      </c>
      <c r="G39" s="30"/>
      <c r="H39" s="31">
        <f t="shared" si="2"/>
        <v>0</v>
      </c>
      <c r="I39" s="30"/>
      <c r="J39" s="31">
        <f t="shared" si="3"/>
        <v>0</v>
      </c>
      <c r="K39" s="30"/>
      <c r="L39" s="31">
        <f t="shared" si="4"/>
        <v>0</v>
      </c>
      <c r="M39" s="30"/>
      <c r="N39" s="31">
        <f t="shared" si="6"/>
        <v>0</v>
      </c>
      <c r="O39" s="42">
        <f t="shared" si="7"/>
        <v>0</v>
      </c>
      <c r="P39" s="50"/>
      <c r="Q39" s="39"/>
      <c r="R39" s="39"/>
      <c r="S39" s="36">
        <f t="shared" si="8"/>
        <v>0</v>
      </c>
      <c r="T39" s="43">
        <f t="shared" si="9"/>
        <v>0</v>
      </c>
      <c r="U39" s="67">
        <f t="shared" si="10"/>
        <v>0</v>
      </c>
      <c r="V39" s="45"/>
      <c r="W39" s="83" cm="1">
        <f t="array" ref="W39">TRANSPOSE('ASISTENCIA D'!AI36)</f>
        <v>0</v>
      </c>
      <c r="X39" s="33"/>
    </row>
    <row r="40" spans="1:24" s="12" customFormat="1" ht="55.5" customHeight="1" thickBot="1" x14ac:dyDescent="0.35">
      <c r="A40" s="66">
        <f t="shared" si="5"/>
        <v>29</v>
      </c>
      <c r="B40" s="79" t="s">
        <v>142</v>
      </c>
      <c r="C40" s="30"/>
      <c r="D40" s="31">
        <f t="shared" si="0"/>
        <v>0</v>
      </c>
      <c r="E40" s="30"/>
      <c r="F40" s="31">
        <f t="shared" si="1"/>
        <v>0</v>
      </c>
      <c r="G40" s="30"/>
      <c r="H40" s="31">
        <f t="shared" si="2"/>
        <v>0</v>
      </c>
      <c r="I40" s="30"/>
      <c r="J40" s="31">
        <f t="shared" si="3"/>
        <v>0</v>
      </c>
      <c r="K40" s="30"/>
      <c r="L40" s="31">
        <f t="shared" si="4"/>
        <v>0</v>
      </c>
      <c r="M40" s="30"/>
      <c r="N40" s="31">
        <f t="shared" si="6"/>
        <v>0</v>
      </c>
      <c r="O40" s="42">
        <f t="shared" si="7"/>
        <v>0</v>
      </c>
      <c r="P40" s="50"/>
      <c r="Q40" s="39"/>
      <c r="R40" s="39"/>
      <c r="S40" s="36">
        <f t="shared" si="8"/>
        <v>0</v>
      </c>
      <c r="T40" s="43">
        <f t="shared" si="9"/>
        <v>0</v>
      </c>
      <c r="U40" s="67">
        <f t="shared" si="10"/>
        <v>0</v>
      </c>
      <c r="V40" s="45"/>
      <c r="W40" s="83" cm="1">
        <f t="array" ref="W40">TRANSPOSE('ASISTENCIA D'!AI37)</f>
        <v>0</v>
      </c>
      <c r="X40" s="33"/>
    </row>
    <row r="41" spans="1:24" s="12" customFormat="1" ht="55.5" customHeight="1" thickBot="1" x14ac:dyDescent="0.35">
      <c r="A41" s="66">
        <f t="shared" si="5"/>
        <v>30</v>
      </c>
      <c r="B41" s="79" t="s">
        <v>143</v>
      </c>
      <c r="C41" s="30"/>
      <c r="D41" s="31">
        <f t="shared" si="0"/>
        <v>0</v>
      </c>
      <c r="E41" s="30"/>
      <c r="F41" s="31">
        <f t="shared" si="1"/>
        <v>0</v>
      </c>
      <c r="G41" s="30"/>
      <c r="H41" s="31">
        <f t="shared" si="2"/>
        <v>0</v>
      </c>
      <c r="I41" s="30"/>
      <c r="J41" s="31">
        <f t="shared" si="3"/>
        <v>0</v>
      </c>
      <c r="K41" s="30"/>
      <c r="L41" s="31">
        <f t="shared" si="4"/>
        <v>0</v>
      </c>
      <c r="M41" s="30"/>
      <c r="N41" s="31">
        <f t="shared" si="6"/>
        <v>0</v>
      </c>
      <c r="O41" s="42">
        <f t="shared" si="7"/>
        <v>0</v>
      </c>
      <c r="P41" s="50"/>
      <c r="Q41" s="39"/>
      <c r="R41" s="39"/>
      <c r="S41" s="36">
        <f t="shared" si="8"/>
        <v>0</v>
      </c>
      <c r="T41" s="43">
        <f t="shared" si="9"/>
        <v>0</v>
      </c>
      <c r="U41" s="67">
        <f t="shared" si="10"/>
        <v>0</v>
      </c>
      <c r="V41" s="45"/>
      <c r="W41" s="83" cm="1">
        <f t="array" ref="W41">TRANSPOSE('ASISTENCIA D'!AI38)</f>
        <v>0</v>
      </c>
      <c r="X41" s="33"/>
    </row>
    <row r="42" spans="1:24" s="12" customFormat="1" ht="55.5" customHeight="1" thickBot="1" x14ac:dyDescent="0.35">
      <c r="A42" s="66">
        <f t="shared" si="5"/>
        <v>31</v>
      </c>
      <c r="B42" s="79" t="s">
        <v>144</v>
      </c>
      <c r="C42" s="30"/>
      <c r="D42" s="31">
        <f t="shared" si="0"/>
        <v>0</v>
      </c>
      <c r="E42" s="30"/>
      <c r="F42" s="31">
        <f t="shared" si="1"/>
        <v>0</v>
      </c>
      <c r="G42" s="30"/>
      <c r="H42" s="31">
        <f t="shared" si="2"/>
        <v>0</v>
      </c>
      <c r="I42" s="30"/>
      <c r="J42" s="31">
        <f t="shared" si="3"/>
        <v>0</v>
      </c>
      <c r="K42" s="30"/>
      <c r="L42" s="31">
        <f t="shared" si="4"/>
        <v>0</v>
      </c>
      <c r="M42" s="30"/>
      <c r="N42" s="31">
        <f t="shared" si="6"/>
        <v>0</v>
      </c>
      <c r="O42" s="42">
        <f t="shared" si="7"/>
        <v>0</v>
      </c>
      <c r="P42" s="50"/>
      <c r="Q42" s="39"/>
      <c r="R42" s="39"/>
      <c r="S42" s="36">
        <f t="shared" si="8"/>
        <v>0</v>
      </c>
      <c r="T42" s="43">
        <f t="shared" si="9"/>
        <v>0</v>
      </c>
      <c r="U42" s="67">
        <f t="shared" si="10"/>
        <v>0</v>
      </c>
      <c r="V42" s="45"/>
      <c r="W42" s="83" cm="1">
        <f t="array" ref="W42">TRANSPOSE('ASISTENCIA D'!AI39)</f>
        <v>0</v>
      </c>
      <c r="X42" s="33"/>
    </row>
    <row r="43" spans="1:24" s="12" customFormat="1" ht="55.5" customHeight="1" thickBot="1" x14ac:dyDescent="0.35">
      <c r="A43" s="66">
        <f t="shared" si="5"/>
        <v>32</v>
      </c>
      <c r="B43" s="79" t="s">
        <v>145</v>
      </c>
      <c r="C43" s="30"/>
      <c r="D43" s="31">
        <f t="shared" si="0"/>
        <v>0</v>
      </c>
      <c r="E43" s="30"/>
      <c r="F43" s="31">
        <f t="shared" si="1"/>
        <v>0</v>
      </c>
      <c r="G43" s="30"/>
      <c r="H43" s="31">
        <f t="shared" si="2"/>
        <v>0</v>
      </c>
      <c r="I43" s="30"/>
      <c r="J43" s="31">
        <f t="shared" si="3"/>
        <v>0</v>
      </c>
      <c r="K43" s="30"/>
      <c r="L43" s="31">
        <f t="shared" si="4"/>
        <v>0</v>
      </c>
      <c r="M43" s="30"/>
      <c r="N43" s="31">
        <f t="shared" si="6"/>
        <v>0</v>
      </c>
      <c r="O43" s="42">
        <f t="shared" si="7"/>
        <v>0</v>
      </c>
      <c r="P43" s="50"/>
      <c r="Q43" s="39"/>
      <c r="R43" s="39"/>
      <c r="S43" s="36">
        <f t="shared" si="8"/>
        <v>0</v>
      </c>
      <c r="T43" s="43">
        <f t="shared" si="9"/>
        <v>0</v>
      </c>
      <c r="U43" s="67">
        <f t="shared" si="10"/>
        <v>0</v>
      </c>
      <c r="V43" s="45"/>
      <c r="W43" s="83" cm="1">
        <f t="array" ref="W43">TRANSPOSE('ASISTENCIA D'!AI40)</f>
        <v>0</v>
      </c>
      <c r="X43" s="33"/>
    </row>
    <row r="44" spans="1:24" s="12" customFormat="1" ht="55.5" customHeight="1" thickBot="1" x14ac:dyDescent="0.35">
      <c r="A44" s="66">
        <f t="shared" si="5"/>
        <v>33</v>
      </c>
      <c r="B44" s="79" t="s">
        <v>146</v>
      </c>
      <c r="C44" s="30"/>
      <c r="D44" s="31">
        <f t="shared" si="0"/>
        <v>0</v>
      </c>
      <c r="E44" s="30"/>
      <c r="F44" s="31">
        <f t="shared" si="1"/>
        <v>0</v>
      </c>
      <c r="G44" s="30"/>
      <c r="H44" s="31">
        <f t="shared" si="2"/>
        <v>0</v>
      </c>
      <c r="I44" s="30"/>
      <c r="J44" s="31">
        <f t="shared" si="3"/>
        <v>0</v>
      </c>
      <c r="K44" s="30"/>
      <c r="L44" s="31">
        <f t="shared" si="4"/>
        <v>0</v>
      </c>
      <c r="M44" s="30"/>
      <c r="N44" s="31">
        <f t="shared" si="6"/>
        <v>0</v>
      </c>
      <c r="O44" s="42">
        <f t="shared" si="7"/>
        <v>0</v>
      </c>
      <c r="P44" s="50"/>
      <c r="Q44" s="35"/>
      <c r="R44" s="39"/>
      <c r="S44" s="36">
        <f t="shared" si="8"/>
        <v>0</v>
      </c>
      <c r="T44" s="43">
        <f t="shared" si="9"/>
        <v>0</v>
      </c>
      <c r="U44" s="67">
        <f t="shared" si="10"/>
        <v>0</v>
      </c>
      <c r="V44" s="45"/>
      <c r="W44" s="83" cm="1">
        <f t="array" ref="W44">TRANSPOSE('ASISTENCIA D'!AI41)</f>
        <v>0</v>
      </c>
      <c r="X44" s="33"/>
    </row>
    <row r="45" spans="1:24" s="12" customFormat="1" ht="55.5" customHeight="1" thickBot="1" x14ac:dyDescent="0.35">
      <c r="A45" s="66">
        <f t="shared" si="5"/>
        <v>34</v>
      </c>
      <c r="B45" s="79" t="s">
        <v>147</v>
      </c>
      <c r="C45" s="30"/>
      <c r="D45" s="31">
        <f t="shared" si="0"/>
        <v>0</v>
      </c>
      <c r="E45" s="30"/>
      <c r="F45" s="31">
        <f t="shared" si="1"/>
        <v>0</v>
      </c>
      <c r="G45" s="30"/>
      <c r="H45" s="31">
        <f t="shared" si="2"/>
        <v>0</v>
      </c>
      <c r="I45" s="30"/>
      <c r="J45" s="31">
        <f t="shared" si="3"/>
        <v>0</v>
      </c>
      <c r="K45" s="30"/>
      <c r="L45" s="31">
        <f t="shared" si="4"/>
        <v>0</v>
      </c>
      <c r="M45" s="32"/>
      <c r="N45" s="31">
        <f t="shared" si="6"/>
        <v>0</v>
      </c>
      <c r="O45" s="42">
        <f t="shared" si="7"/>
        <v>0</v>
      </c>
      <c r="P45" s="50"/>
      <c r="Q45" s="34"/>
      <c r="R45" s="39"/>
      <c r="S45" s="36">
        <f t="shared" si="8"/>
        <v>0</v>
      </c>
      <c r="T45" s="43">
        <f t="shared" si="9"/>
        <v>0</v>
      </c>
      <c r="U45" s="67">
        <f t="shared" si="10"/>
        <v>0</v>
      </c>
      <c r="V45" s="45"/>
      <c r="W45" s="83" cm="1">
        <f t="array" ref="W45">TRANSPOSE('ASISTENCIA D'!AI42)</f>
        <v>0</v>
      </c>
      <c r="X45" s="33"/>
    </row>
    <row r="46" spans="1:24" s="12" customFormat="1" ht="51.75" customHeight="1" thickBot="1" x14ac:dyDescent="0.35">
      <c r="A46" s="66" t="str">
        <f t="shared" si="5"/>
        <v/>
      </c>
      <c r="B46" s="75"/>
      <c r="C46" s="30"/>
      <c r="D46" s="31">
        <f t="shared" si="0"/>
        <v>0</v>
      </c>
      <c r="E46" s="30"/>
      <c r="F46" s="31">
        <f t="shared" si="1"/>
        <v>0</v>
      </c>
      <c r="G46" s="30"/>
      <c r="H46" s="31">
        <f t="shared" si="2"/>
        <v>0</v>
      </c>
      <c r="I46" s="30"/>
      <c r="J46" s="31">
        <f t="shared" si="3"/>
        <v>0</v>
      </c>
      <c r="K46" s="30"/>
      <c r="L46" s="31">
        <f t="shared" si="4"/>
        <v>0</v>
      </c>
      <c r="M46" s="32"/>
      <c r="N46" s="31">
        <f t="shared" si="6"/>
        <v>0</v>
      </c>
      <c r="O46" s="42">
        <f t="shared" si="7"/>
        <v>0</v>
      </c>
      <c r="P46" s="50"/>
      <c r="Q46" s="34"/>
      <c r="R46" s="35"/>
      <c r="S46" s="36">
        <f t="shared" si="8"/>
        <v>0</v>
      </c>
      <c r="T46" s="43">
        <f t="shared" si="9"/>
        <v>0</v>
      </c>
      <c r="U46" s="67">
        <f t="shared" si="10"/>
        <v>0</v>
      </c>
      <c r="V46" s="45"/>
      <c r="W46" s="83" cm="1">
        <f t="array" ref="W46">TRANSPOSE('ASISTENCIA D'!AI43)</f>
        <v>0</v>
      </c>
      <c r="X46" s="33"/>
    </row>
    <row r="47" spans="1:24" s="12" customFormat="1" ht="51.75" customHeight="1" x14ac:dyDescent="0.3">
      <c r="A47" s="66" t="str">
        <f t="shared" si="5"/>
        <v/>
      </c>
      <c r="B47" s="76"/>
      <c r="C47" s="30"/>
      <c r="D47" s="31">
        <f t="shared" si="0"/>
        <v>0</v>
      </c>
      <c r="E47" s="30"/>
      <c r="F47" s="31">
        <f t="shared" si="1"/>
        <v>0</v>
      </c>
      <c r="G47" s="30"/>
      <c r="H47" s="31">
        <f t="shared" si="2"/>
        <v>0</v>
      </c>
      <c r="I47" s="30"/>
      <c r="J47" s="31">
        <f t="shared" si="3"/>
        <v>0</v>
      </c>
      <c r="K47" s="30"/>
      <c r="L47" s="31">
        <f t="shared" si="4"/>
        <v>0</v>
      </c>
      <c r="M47" s="32"/>
      <c r="N47" s="31">
        <f t="shared" si="6"/>
        <v>0</v>
      </c>
      <c r="O47" s="42">
        <f t="shared" si="7"/>
        <v>0</v>
      </c>
      <c r="P47" s="50"/>
      <c r="Q47" s="34"/>
      <c r="R47" s="34"/>
      <c r="S47" s="36">
        <f t="shared" si="8"/>
        <v>0</v>
      </c>
      <c r="T47" s="43">
        <f t="shared" si="9"/>
        <v>0</v>
      </c>
      <c r="U47" s="67">
        <f t="shared" si="10"/>
        <v>0</v>
      </c>
      <c r="V47" s="45"/>
      <c r="W47" s="83" cm="1">
        <f t="array" ref="W47">TRANSPOSE('ASISTENCIA D'!AI44)</f>
        <v>0</v>
      </c>
      <c r="X47" s="33"/>
    </row>
    <row r="48" spans="1:24" ht="23.25" x14ac:dyDescent="0.35">
      <c r="A48" s="28"/>
      <c r="B48" s="65"/>
      <c r="E48" s="30"/>
      <c r="G48" s="30"/>
      <c r="I48" s="29"/>
      <c r="K48" s="30"/>
    </row>
    <row r="49" spans="11:11" ht="23.25" x14ac:dyDescent="0.3">
      <c r="K49" s="30"/>
    </row>
    <row r="50" spans="11:11" ht="23.25" x14ac:dyDescent="0.3">
      <c r="K50" s="30"/>
    </row>
    <row r="51" spans="11:11" ht="23.25" x14ac:dyDescent="0.3">
      <c r="K51" s="30"/>
    </row>
    <row r="52" spans="11:11" ht="23.25" x14ac:dyDescent="0.3">
      <c r="K52" s="30"/>
    </row>
    <row r="53" spans="11:11" ht="23.25" x14ac:dyDescent="0.3">
      <c r="K53" s="30"/>
    </row>
  </sheetData>
  <sheetProtection algorithmName="SHA-512" hashValue="zKDKReeB5I4ASMnTMrYQS6HFj9/7SPqlW+neoI7AzUbq4KOSqWWvg9d45OqRGB+UTThbp9ZuIDaQ0y1b0LBZGg==" saltValue="YZJVy+NjqVo96fQj7IGVYQ==" spinCount="100000" sheet="1" selectLockedCells="1"/>
  <mergeCells count="28">
    <mergeCell ref="A5:B5"/>
    <mergeCell ref="O6:O11"/>
    <mergeCell ref="A10:B10"/>
    <mergeCell ref="I4:I10"/>
    <mergeCell ref="J4:J10"/>
    <mergeCell ref="K4:K10"/>
    <mergeCell ref="L4:L10"/>
    <mergeCell ref="M4:M10"/>
    <mergeCell ref="N4:N10"/>
    <mergeCell ref="C4:C10"/>
    <mergeCell ref="D4:D10"/>
    <mergeCell ref="E4:E10"/>
    <mergeCell ref="F4:F10"/>
    <mergeCell ref="G4:G10"/>
    <mergeCell ref="H4:H10"/>
    <mergeCell ref="C1:S1"/>
    <mergeCell ref="T1:X1"/>
    <mergeCell ref="C2:O3"/>
    <mergeCell ref="P2:P11"/>
    <mergeCell ref="Q2:S3"/>
    <mergeCell ref="T2:T11"/>
    <mergeCell ref="U2:U11"/>
    <mergeCell ref="V2:V11"/>
    <mergeCell ref="X2:X11"/>
    <mergeCell ref="W3:W11"/>
    <mergeCell ref="Q4:Q11"/>
    <mergeCell ref="R4:R11"/>
    <mergeCell ref="S4:S11"/>
  </mergeCells>
  <conditionalFormatting sqref="A12:X12 A13:V17 W13:X47 A18:J47 L18:V47 K18:K53 E48 G48">
    <cfRule type="expression" dxfId="39" priority="2">
      <formula>$A12&lt;&gt;""</formula>
    </cfRule>
  </conditionalFormatting>
  <conditionalFormatting sqref="C12:C47 E12:E48 G12:G48 I12:I48 K12:K53">
    <cfRule type="containsText" dxfId="38" priority="13" stopIfTrue="1" operator="containsText" text="NP">
      <formula>NOT(ISERROR(SEARCH("NP",C12)))</formula>
    </cfRule>
  </conditionalFormatting>
  <conditionalFormatting sqref="C12:O12 C13:K17 L13:O47 C18:J46 C47:H47 J47 K18:K53 I47:I48 E48 G48">
    <cfRule type="cellIs" dxfId="37" priority="8" operator="lessThan">
      <formula>10</formula>
    </cfRule>
    <cfRule type="cellIs" dxfId="36" priority="9" operator="lessThan">
      <formula>9.4</formula>
    </cfRule>
    <cfRule type="containsText" dxfId="35" priority="10" operator="containsText" text="I">
      <formula>NOT(ISERROR(SEARCH("I",C12)))</formula>
    </cfRule>
    <cfRule type="containsText" dxfId="34" priority="11" operator="containsText" text="NP">
      <formula>NOT(ISERROR(SEARCH("NP",C12)))</formula>
    </cfRule>
    <cfRule type="containsText" dxfId="33" priority="12" operator="containsText" text="NE">
      <formula>NOT(ISERROR(SEARCH("NE",C12)))</formula>
    </cfRule>
  </conditionalFormatting>
  <conditionalFormatting sqref="D12:D47 F12:F47 H12:H47 J12:J47 L12:L47 N12:N47">
    <cfRule type="cellIs" dxfId="32" priority="6" operator="greaterThan">
      <formula>0</formula>
    </cfRule>
  </conditionalFormatting>
  <conditionalFormatting sqref="K12:K17 G12:G48 I12:I48 M12">
    <cfRule type="containsText" dxfId="31" priority="19" operator="containsText" text="i">
      <formula>NOT(ISERROR(SEARCH("i",G12)))</formula>
    </cfRule>
  </conditionalFormatting>
  <conditionalFormatting sqref="K12:K17 G12:G48 I12:I48 M12:M47">
    <cfRule type="cellIs" dxfId="30" priority="14" operator="lessThan">
      <formula>10</formula>
    </cfRule>
    <cfRule type="containsText" dxfId="29" priority="15" operator="containsText" text="NP">
      <formula>NOT(ISERROR(SEARCH("NP",G12)))</formula>
    </cfRule>
    <cfRule type="containsText" dxfId="28" priority="16" operator="containsText" text="NE">
      <formula>NOT(ISERROR(SEARCH("NE",G12)))</formula>
    </cfRule>
    <cfRule type="containsText" dxfId="27" priority="17" operator="containsText" text="I">
      <formula>NOT(ISERROR(SEARCH("I",G12)))</formula>
    </cfRule>
  </conditionalFormatting>
  <conditionalFormatting sqref="L18:O48 A12:O17 A18:J48 K18:K53">
    <cfRule type="expression" dxfId="26" priority="5">
      <formula>$A12=""</formula>
    </cfRule>
  </conditionalFormatting>
  <conditionalFormatting sqref="M12">
    <cfRule type="containsText" dxfId="25" priority="20" stopIfTrue="1" operator="containsText" text="NP">
      <formula>NOT(ISERROR(SEARCH("NP",M12)))</formula>
    </cfRule>
  </conditionalFormatting>
  <conditionalFormatting sqref="M40:M44">
    <cfRule type="expression" dxfId="24" priority="4">
      <formula>$A40&lt;&gt;""</formula>
    </cfRule>
  </conditionalFormatting>
  <conditionalFormatting sqref="O12:O47">
    <cfRule type="cellIs" dxfId="23" priority="18" operator="lessThan">
      <formula>10</formula>
    </cfRule>
  </conditionalFormatting>
  <conditionalFormatting sqref="O12:O48">
    <cfRule type="cellIs" dxfId="22" priority="7" operator="lessThan">
      <formula>9.4</formula>
    </cfRule>
  </conditionalFormatting>
  <conditionalFormatting sqref="Q12:R42 Q43 R43:R45">
    <cfRule type="expression" dxfId="21" priority="1">
      <formula>$A12&lt;&gt;""</formula>
    </cfRule>
  </conditionalFormatting>
  <conditionalFormatting sqref="T12:U47">
    <cfRule type="cellIs" dxfId="20" priority="3" operator="lessThan">
      <formula>9.5</formula>
    </cfRule>
  </conditionalFormatting>
  <printOptions verticalCentered="1"/>
  <pageMargins left="0" right="0" top="0" bottom="0" header="7.874015748031496E-2" footer="0"/>
  <pageSetup scale="4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6B73-E405-497F-A384-8B6F4E7CC5A1}">
  <dimension ref="A1:AJ43"/>
  <sheetViews>
    <sheetView view="pageBreakPreview" zoomScale="32" zoomScaleNormal="40" zoomScaleSheetLayoutView="32" workbookViewId="0">
      <pane xSplit="3" ySplit="8" topLeftCell="D9" activePane="bottomRight" state="frozen"/>
      <selection activeCell="D3" sqref="D3:AH3"/>
      <selection pane="topRight" activeCell="D3" sqref="D3:AH3"/>
      <selection pane="bottomLeft" activeCell="D3" sqref="D3:AH3"/>
      <selection pane="bottomRight" activeCell="D3" sqref="D3:AH3"/>
    </sheetView>
  </sheetViews>
  <sheetFormatPr baseColWidth="10" defaultColWidth="9.140625" defaultRowHeight="23.25" x14ac:dyDescent="0.35"/>
  <cols>
    <col min="1" max="1" width="16.85546875" style="8" customWidth="1"/>
    <col min="2" max="2" width="102" style="7" customWidth="1"/>
    <col min="3" max="3" width="13.42578125" style="7" customWidth="1"/>
    <col min="4" max="34" width="13.85546875" style="7" customWidth="1"/>
    <col min="35" max="35" width="13.28515625" style="9" customWidth="1"/>
    <col min="36" max="16384" width="9.140625" style="10"/>
  </cols>
  <sheetData>
    <row r="1" spans="1:36" ht="0.95" customHeight="1" thickBot="1" x14ac:dyDescent="0.4"/>
    <row r="2" spans="1:36" ht="42.75" customHeight="1" thickBot="1" x14ac:dyDescent="0.45">
      <c r="A2" s="16"/>
      <c r="B2" s="16"/>
      <c r="C2" s="17"/>
      <c r="D2" s="121" t="s">
        <v>37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34"/>
      <c r="P2" s="134"/>
      <c r="Q2" s="134"/>
      <c r="R2" s="134"/>
      <c r="S2" s="134"/>
      <c r="T2" s="135" t="s">
        <v>40</v>
      </c>
      <c r="U2" s="136"/>
      <c r="V2" s="136"/>
      <c r="W2" s="136"/>
      <c r="X2" s="137">
        <f>SUM(AB2,AF2)</f>
        <v>34</v>
      </c>
      <c r="Y2" s="138"/>
      <c r="Z2" s="60" t="s">
        <v>17</v>
      </c>
      <c r="AA2" s="18" t="s">
        <v>18</v>
      </c>
      <c r="AB2" s="139">
        <f>COUNTIF(C9:C42,Z2)</f>
        <v>16</v>
      </c>
      <c r="AC2" s="139"/>
      <c r="AD2" s="61" t="s">
        <v>19</v>
      </c>
      <c r="AE2" s="18" t="s">
        <v>18</v>
      </c>
      <c r="AF2" s="139">
        <f>COUNTIF(C9:C42,AD2)</f>
        <v>18</v>
      </c>
      <c r="AG2" s="139"/>
      <c r="AH2" s="140"/>
      <c r="AI2" s="127" t="s">
        <v>25</v>
      </c>
    </row>
    <row r="3" spans="1:36" ht="53.25" customHeight="1" x14ac:dyDescent="0.4">
      <c r="A3" s="54"/>
      <c r="B3" s="57" t="str">
        <f>'AVANCE D'!B7</f>
        <v>2DO  AÑO SECCIÓN "D"</v>
      </c>
      <c r="C3" s="54"/>
      <c r="D3" s="130" t="s">
        <v>39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3"/>
      <c r="AI3" s="128"/>
    </row>
    <row r="4" spans="1:36" ht="57" customHeight="1" x14ac:dyDescent="0.35">
      <c r="A4" s="55" t="s">
        <v>36</v>
      </c>
      <c r="B4" s="62" t="str">
        <f>'AVANCE D'!B9</f>
        <v>XX</v>
      </c>
      <c r="C4" s="125" t="s">
        <v>28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8"/>
    </row>
    <row r="5" spans="1:36" ht="57" customHeight="1" x14ac:dyDescent="0.35">
      <c r="A5" s="56" t="s">
        <v>33</v>
      </c>
      <c r="B5" s="62">
        <f>'AVANCE D'!B6</f>
        <v>0</v>
      </c>
      <c r="C5" s="125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8"/>
    </row>
    <row r="6" spans="1:36" ht="57" customHeight="1" x14ac:dyDescent="0.35">
      <c r="A6" s="124" t="s">
        <v>20</v>
      </c>
      <c r="B6" s="124"/>
      <c r="C6" s="125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9"/>
    </row>
    <row r="7" spans="1:36" ht="57" customHeight="1" x14ac:dyDescent="0.35">
      <c r="A7" s="19" t="s">
        <v>21</v>
      </c>
      <c r="B7" s="20" t="s">
        <v>15</v>
      </c>
      <c r="C7" s="126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21" t="s">
        <v>23</v>
      </c>
    </row>
    <row r="8" spans="1:36" ht="44.25" customHeight="1" x14ac:dyDescent="0.35">
      <c r="A8" s="23"/>
      <c r="B8" s="24"/>
      <c r="C8" s="59" t="s">
        <v>22</v>
      </c>
      <c r="D8" s="48">
        <v>1</v>
      </c>
      <c r="E8" s="48" t="s">
        <v>31</v>
      </c>
      <c r="F8" s="48" t="s">
        <v>32</v>
      </c>
      <c r="G8" s="48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49"/>
    </row>
    <row r="9" spans="1:36" ht="66.75" customHeight="1" x14ac:dyDescent="0.35">
      <c r="A9" s="22">
        <v>1</v>
      </c>
      <c r="B9" s="74" t="str">
        <f>TRANSPOSE('AVANCE D'!B12)</f>
        <v>EVANS ROJAS JOHN ANTHONY</v>
      </c>
      <c r="C9" s="82" t="s">
        <v>17</v>
      </c>
      <c r="D9" s="58"/>
      <c r="E9" s="25"/>
      <c r="F9" s="25">
        <v>2</v>
      </c>
      <c r="G9" s="25"/>
      <c r="H9" s="25"/>
      <c r="I9" s="25">
        <v>2</v>
      </c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7">
        <f>SUM(D9:AH9)</f>
        <v>4</v>
      </c>
      <c r="AJ9" s="11"/>
    </row>
    <row r="10" spans="1:36" ht="66.75" customHeight="1" x14ac:dyDescent="0.35">
      <c r="A10" s="22">
        <v>2</v>
      </c>
      <c r="B10" s="74" t="str" cm="1">
        <f t="array" ref="B10">TRANSPOSE('AVANCE D'!B13)</f>
        <v>PÁEZ PEÑA CÉSAR IGNACIO</v>
      </c>
      <c r="C10" s="82" t="s">
        <v>17</v>
      </c>
      <c r="D10" s="58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>
        <f t="shared" ref="AI10:AI42" si="0">SUM(D10:AH10)</f>
        <v>0</v>
      </c>
      <c r="AJ10" s="11"/>
    </row>
    <row r="11" spans="1:36" ht="66.75" customHeight="1" x14ac:dyDescent="0.35">
      <c r="A11" s="22">
        <v>3</v>
      </c>
      <c r="B11" s="74" t="str" cm="1">
        <f t="array" ref="B11">TRANSPOSE('AVANCE D'!B14)</f>
        <v>GARCÍA SALAZAR SOPHIA ISABEL</v>
      </c>
      <c r="C11" s="82" t="s">
        <v>19</v>
      </c>
      <c r="D11" s="58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>
        <f t="shared" si="0"/>
        <v>0</v>
      </c>
      <c r="AJ11" s="11"/>
    </row>
    <row r="12" spans="1:36" ht="66.75" customHeight="1" x14ac:dyDescent="0.35">
      <c r="A12" s="22">
        <v>4</v>
      </c>
      <c r="B12" s="74" t="str" cm="1">
        <f t="array" ref="B12">TRANSPOSE('AVANCE D'!B15)</f>
        <v>ROJAS MATA ISMAEL JOSÉ</v>
      </c>
      <c r="C12" s="82" t="s">
        <v>17</v>
      </c>
      <c r="D12" s="58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>
        <f t="shared" si="0"/>
        <v>0</v>
      </c>
      <c r="AJ12" s="11"/>
    </row>
    <row r="13" spans="1:36" ht="66.75" customHeight="1" x14ac:dyDescent="0.35">
      <c r="A13" s="22">
        <v>5</v>
      </c>
      <c r="B13" s="74" t="str" cm="1">
        <f t="array" ref="B13">TRANSPOSE('AVANCE D'!B16)</f>
        <v>MAITA LANDAETA ISABELLA VALENTINA</v>
      </c>
      <c r="C13" s="82" t="s">
        <v>19</v>
      </c>
      <c r="D13" s="58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>
        <f t="shared" si="0"/>
        <v>0</v>
      </c>
      <c r="AJ13" s="11"/>
    </row>
    <row r="14" spans="1:36" ht="66.75" customHeight="1" x14ac:dyDescent="0.35">
      <c r="A14" s="22">
        <v>6</v>
      </c>
      <c r="B14" s="74" t="str" cm="1">
        <f t="array" ref="B14">TRANSPOSE('AVANCE D'!B17)</f>
        <v>CASTILLO YBAÑEZ ERIKXANDER JEREMIA</v>
      </c>
      <c r="C14" s="82" t="s">
        <v>17</v>
      </c>
      <c r="D14" s="58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>
        <f t="shared" si="0"/>
        <v>0</v>
      </c>
      <c r="AJ14" s="11"/>
    </row>
    <row r="15" spans="1:36" ht="66.75" customHeight="1" x14ac:dyDescent="0.35">
      <c r="A15" s="22">
        <v>7</v>
      </c>
      <c r="B15" s="74" t="str" cm="1">
        <f t="array" ref="B15">TRANSPOSE('AVANCE D'!B18)</f>
        <v>BRUCES ROCCA MARÍA FERNANDA</v>
      </c>
      <c r="C15" s="82" t="s">
        <v>19</v>
      </c>
      <c r="D15" s="58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>
        <f t="shared" si="0"/>
        <v>0</v>
      </c>
      <c r="AJ15" s="11"/>
    </row>
    <row r="16" spans="1:36" ht="66.75" customHeight="1" x14ac:dyDescent="0.35">
      <c r="A16" s="22">
        <v>8</v>
      </c>
      <c r="B16" s="74" t="str" cm="1">
        <f t="array" ref="B16">TRANSPOSE('AVANCE D'!B19)</f>
        <v>PALMA CARCAMO ARANTZA SOPHIA</v>
      </c>
      <c r="C16" s="82" t="s">
        <v>19</v>
      </c>
      <c r="D16" s="58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>
        <f t="shared" si="0"/>
        <v>0</v>
      </c>
      <c r="AJ16" s="11"/>
    </row>
    <row r="17" spans="1:36" ht="66.75" customHeight="1" x14ac:dyDescent="0.35">
      <c r="A17" s="22">
        <v>9</v>
      </c>
      <c r="B17" s="74" t="str" cm="1">
        <f t="array" ref="B17">TRANSPOSE('AVANCE D'!B20)</f>
        <v>BURGUILLOS GUIRIGAY EDGAR LUIS</v>
      </c>
      <c r="C17" s="82" t="s">
        <v>17</v>
      </c>
      <c r="D17" s="58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>
        <f t="shared" si="0"/>
        <v>0</v>
      </c>
      <c r="AJ17" s="11"/>
    </row>
    <row r="18" spans="1:36" ht="66.75" customHeight="1" x14ac:dyDescent="0.35">
      <c r="A18" s="22">
        <v>10</v>
      </c>
      <c r="B18" s="74" t="str" cm="1">
        <f t="array" ref="B18">TRANSPOSE('AVANCE D'!B21)</f>
        <v>URBANO CHAURAN ANA PAULA DEL CARMEN</v>
      </c>
      <c r="C18" s="82" t="s">
        <v>19</v>
      </c>
      <c r="D18" s="58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>
        <f t="shared" si="0"/>
        <v>0</v>
      </c>
      <c r="AJ18" s="11"/>
    </row>
    <row r="19" spans="1:36" ht="66.75" customHeight="1" x14ac:dyDescent="0.35">
      <c r="A19" s="22">
        <v>11</v>
      </c>
      <c r="B19" s="74" t="str" cm="1">
        <f t="array" ref="B19">TRANSPOSE('AVANCE D'!B22)</f>
        <v>GÓMEZ MÉNDEZ LUIS MAXIMILIANO</v>
      </c>
      <c r="C19" s="82" t="s">
        <v>17</v>
      </c>
      <c r="D19" s="58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>
        <f t="shared" si="0"/>
        <v>0</v>
      </c>
      <c r="AJ19" s="11"/>
    </row>
    <row r="20" spans="1:36" ht="66.75" customHeight="1" x14ac:dyDescent="0.35">
      <c r="A20" s="22">
        <v>12</v>
      </c>
      <c r="B20" s="74" t="str" cm="1">
        <f t="array" ref="B20">TRANSPOSE('AVANCE D'!B23)</f>
        <v>REBOLLEDO PÉREZ MIGUEL ÁNGEL</v>
      </c>
      <c r="C20" s="82" t="s">
        <v>17</v>
      </c>
      <c r="D20" s="58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7">
        <f t="shared" si="0"/>
        <v>0</v>
      </c>
      <c r="AJ20" s="11"/>
    </row>
    <row r="21" spans="1:36" ht="66.75" customHeight="1" x14ac:dyDescent="0.35">
      <c r="A21" s="22">
        <v>13</v>
      </c>
      <c r="B21" s="74" t="str" cm="1">
        <f t="array" ref="B21">TRANSPOSE('AVANCE D'!B24)</f>
        <v>QUIJADA GARCÍA LUIS EDUARDO</v>
      </c>
      <c r="C21" s="82" t="s">
        <v>17</v>
      </c>
      <c r="D21" s="58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7">
        <f t="shared" si="0"/>
        <v>0</v>
      </c>
      <c r="AJ21" s="11"/>
    </row>
    <row r="22" spans="1:36" ht="66.75" customHeight="1" x14ac:dyDescent="0.35">
      <c r="A22" s="22">
        <v>14</v>
      </c>
      <c r="B22" s="74" t="str" cm="1">
        <f t="array" ref="B22">TRANSPOSE('AVANCE D'!B25)</f>
        <v>EVANS GUZMÁN ÁNGEL ALFREDO</v>
      </c>
      <c r="C22" s="82" t="s">
        <v>17</v>
      </c>
      <c r="D22" s="58"/>
      <c r="E22" s="25"/>
      <c r="F22" s="25"/>
      <c r="G22" s="25"/>
      <c r="H22" s="25"/>
      <c r="I22" s="25"/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>
        <f t="shared" si="0"/>
        <v>0</v>
      </c>
      <c r="AJ22" s="11"/>
    </row>
    <row r="23" spans="1:36" ht="66.75" customHeight="1" x14ac:dyDescent="0.35">
      <c r="A23" s="22">
        <v>15</v>
      </c>
      <c r="B23" s="74" t="str" cm="1">
        <f t="array" ref="B23">TRANSPOSE('AVANCE D'!B26)</f>
        <v>UGAS BELLORÍN ADRIEL ALEXANDER</v>
      </c>
      <c r="C23" s="82" t="s">
        <v>17</v>
      </c>
      <c r="D23" s="58"/>
      <c r="E23" s="25"/>
      <c r="F23" s="25"/>
      <c r="G23" s="25"/>
      <c r="H23" s="25"/>
      <c r="I23" s="25"/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7">
        <f t="shared" si="0"/>
        <v>0</v>
      </c>
      <c r="AJ23" s="11"/>
    </row>
    <row r="24" spans="1:36" ht="66.75" customHeight="1" x14ac:dyDescent="0.35">
      <c r="A24" s="22">
        <v>16</v>
      </c>
      <c r="B24" s="74" t="str" cm="1">
        <f t="array" ref="B24">TRANSPOSE('AVANCE D'!B27)</f>
        <v>BRUCE SÁNCHEZ ESTEFANY VALENTINA</v>
      </c>
      <c r="C24" s="82" t="s">
        <v>19</v>
      </c>
      <c r="D24" s="58"/>
      <c r="E24" s="25"/>
      <c r="F24" s="25"/>
      <c r="G24" s="25"/>
      <c r="H24" s="25"/>
      <c r="I24" s="25"/>
      <c r="J24" s="2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 t="s">
        <v>28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7">
        <f t="shared" si="0"/>
        <v>0</v>
      </c>
      <c r="AJ24" s="11"/>
    </row>
    <row r="25" spans="1:36" ht="66.75" customHeight="1" x14ac:dyDescent="0.35">
      <c r="A25" s="22">
        <v>17</v>
      </c>
      <c r="B25" s="74" t="str" cm="1">
        <f t="array" ref="B25">TRANSPOSE('AVANCE D'!B28)</f>
        <v>GONZÁLEZ LÓPEZ ESTEBAN ISAAC</v>
      </c>
      <c r="C25" s="82" t="s">
        <v>17</v>
      </c>
      <c r="D25" s="58"/>
      <c r="E25" s="25"/>
      <c r="F25" s="25"/>
      <c r="G25" s="25"/>
      <c r="H25" s="25"/>
      <c r="I25" s="25"/>
      <c r="J25" s="25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>
        <f t="shared" si="0"/>
        <v>0</v>
      </c>
      <c r="AJ25" s="11"/>
    </row>
    <row r="26" spans="1:36" ht="66.75" customHeight="1" x14ac:dyDescent="0.35">
      <c r="A26" s="22">
        <v>18</v>
      </c>
      <c r="B26" s="74" t="str" cm="1">
        <f t="array" ref="B26">TRANSPOSE('AVANCE D'!B29)</f>
        <v>BRICEÑO ARREAZA EMILY SOLIMAR</v>
      </c>
      <c r="C26" s="82" t="s">
        <v>19</v>
      </c>
      <c r="D26" s="58"/>
      <c r="E26" s="25"/>
      <c r="F26" s="25"/>
      <c r="G26" s="25"/>
      <c r="H26" s="25"/>
      <c r="I26" s="25"/>
      <c r="J26" s="25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>
        <f t="shared" si="0"/>
        <v>0</v>
      </c>
      <c r="AJ26" s="11"/>
    </row>
    <row r="27" spans="1:36" ht="66.75" customHeight="1" x14ac:dyDescent="0.35">
      <c r="A27" s="22">
        <v>19</v>
      </c>
      <c r="B27" s="74" t="str" cm="1">
        <f t="array" ref="B27">TRANSPOSE('AVANCE D'!B30)</f>
        <v>ROMERO SALAZAR HÉCTOR FABRICCIO</v>
      </c>
      <c r="C27" s="82" t="s">
        <v>17</v>
      </c>
      <c r="D27" s="58"/>
      <c r="E27" s="25"/>
      <c r="F27" s="25"/>
      <c r="G27" s="25"/>
      <c r="H27" s="25"/>
      <c r="I27" s="25"/>
      <c r="J27" s="25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>
        <f t="shared" si="0"/>
        <v>0</v>
      </c>
      <c r="AJ27" s="11"/>
    </row>
    <row r="28" spans="1:36" ht="66.75" customHeight="1" x14ac:dyDescent="0.35">
      <c r="A28" s="22">
        <v>20</v>
      </c>
      <c r="B28" s="74" t="str" cm="1">
        <f t="array" ref="B28">TRANSPOSE('AVANCE D'!B31)</f>
        <v>AL SOUS CABRERA SHADIA</v>
      </c>
      <c r="C28" s="82" t="s">
        <v>19</v>
      </c>
      <c r="D28" s="58"/>
      <c r="E28" s="25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>
        <f t="shared" si="0"/>
        <v>0</v>
      </c>
      <c r="AJ28" s="11"/>
    </row>
    <row r="29" spans="1:36" ht="66.75" customHeight="1" x14ac:dyDescent="0.35">
      <c r="A29" s="22">
        <v>21</v>
      </c>
      <c r="B29" s="74" t="str" cm="1">
        <f t="array" ref="B29">TRANSPOSE('AVANCE D'!B32)</f>
        <v>MAITA ROMERO LUCIANA VIRGINIA</v>
      </c>
      <c r="C29" s="82" t="s">
        <v>19</v>
      </c>
      <c r="D29" s="58"/>
      <c r="E29" s="25"/>
      <c r="F29" s="25"/>
      <c r="G29" s="25"/>
      <c r="H29" s="25"/>
      <c r="I29" s="25"/>
      <c r="J29" s="25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>
        <f t="shared" si="0"/>
        <v>0</v>
      </c>
      <c r="AJ29" s="11"/>
    </row>
    <row r="30" spans="1:36" ht="66.75" customHeight="1" x14ac:dyDescent="0.35">
      <c r="A30" s="22">
        <v>22</v>
      </c>
      <c r="B30" s="74" t="str" cm="1">
        <f t="array" ref="B30">TRANSPOSE('AVANCE D'!B33)</f>
        <v>ARZOLAY AGUILERA SOFÍA NICOLE</v>
      </c>
      <c r="C30" s="82" t="s">
        <v>19</v>
      </c>
      <c r="D30" s="58"/>
      <c r="E30" s="25"/>
      <c r="F30" s="25"/>
      <c r="G30" s="25"/>
      <c r="H30" s="25"/>
      <c r="I30" s="25"/>
      <c r="J30" s="25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>
        <f t="shared" si="0"/>
        <v>0</v>
      </c>
      <c r="AJ30" s="11"/>
    </row>
    <row r="31" spans="1:36" ht="66.75" customHeight="1" x14ac:dyDescent="0.35">
      <c r="A31" s="22">
        <v>23</v>
      </c>
      <c r="B31" s="74" t="str" cm="1">
        <f t="array" ref="B31">TRANSPOSE('AVANCE D'!B34)</f>
        <v>VÁSQUEZ SEQUERA FABIANA ISABEL</v>
      </c>
      <c r="C31" s="82" t="s">
        <v>19</v>
      </c>
      <c r="D31" s="58"/>
      <c r="E31" s="25"/>
      <c r="F31" s="25"/>
      <c r="G31" s="25"/>
      <c r="H31" s="25"/>
      <c r="I31" s="25"/>
      <c r="J31" s="25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>
        <f t="shared" si="0"/>
        <v>0</v>
      </c>
      <c r="AJ31" s="11"/>
    </row>
    <row r="32" spans="1:36" ht="66.75" customHeight="1" x14ac:dyDescent="0.35">
      <c r="A32" s="22">
        <v>24</v>
      </c>
      <c r="B32" s="74" t="str" cm="1">
        <f t="array" ref="B32">TRANSPOSE('AVANCE D'!B35)</f>
        <v>RODRÍGUEZ ALFONZO ANTONELLA SOPHIA</v>
      </c>
      <c r="C32" s="82" t="s">
        <v>19</v>
      </c>
      <c r="D32" s="58"/>
      <c r="E32" s="25"/>
      <c r="F32" s="25"/>
      <c r="G32" s="25"/>
      <c r="H32" s="25"/>
      <c r="I32" s="25"/>
      <c r="J32" s="25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>
        <f t="shared" si="0"/>
        <v>0</v>
      </c>
      <c r="AJ32" s="11"/>
    </row>
    <row r="33" spans="1:36" ht="66.75" customHeight="1" x14ac:dyDescent="0.35">
      <c r="A33" s="22">
        <v>25</v>
      </c>
      <c r="B33" s="74" t="str" cm="1">
        <f t="array" ref="B33">TRANSPOSE('AVANCE D'!B36)</f>
        <v>ASCANIO ROSAS SOFÍA VALENTINA</v>
      </c>
      <c r="C33" s="82" t="s">
        <v>19</v>
      </c>
      <c r="D33" s="58"/>
      <c r="E33" s="25"/>
      <c r="F33" s="25"/>
      <c r="G33" s="25"/>
      <c r="H33" s="25"/>
      <c r="I33" s="25"/>
      <c r="J33" s="25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>
        <f t="shared" si="0"/>
        <v>0</v>
      </c>
      <c r="AJ33" s="11"/>
    </row>
    <row r="34" spans="1:36" ht="66.75" customHeight="1" x14ac:dyDescent="0.35">
      <c r="A34" s="22">
        <v>26</v>
      </c>
      <c r="B34" s="74" t="str" cm="1">
        <f t="array" ref="B34">TRANSPOSE('AVANCE D'!B37)</f>
        <v>MORENO BURGA THOMAS ENRIQUE</v>
      </c>
      <c r="C34" s="82" t="s">
        <v>17</v>
      </c>
      <c r="D34" s="58"/>
      <c r="E34" s="25"/>
      <c r="F34" s="25"/>
      <c r="G34" s="25"/>
      <c r="H34" s="25"/>
      <c r="I34" s="25"/>
      <c r="J34" s="25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>
        <f t="shared" si="0"/>
        <v>0</v>
      </c>
      <c r="AJ34" s="11"/>
    </row>
    <row r="35" spans="1:36" ht="66.75" customHeight="1" x14ac:dyDescent="0.35">
      <c r="A35" s="22">
        <v>27</v>
      </c>
      <c r="B35" s="74" t="str" cm="1">
        <f t="array" ref="B35">TRANSPOSE('AVANCE D'!B38)</f>
        <v>REQUENA ESPINOZA FABRIZIO ANDRÉS</v>
      </c>
      <c r="C35" s="82" t="s">
        <v>17</v>
      </c>
      <c r="D35" s="58"/>
      <c r="E35" s="25"/>
      <c r="F35" s="25"/>
      <c r="G35" s="25"/>
      <c r="H35" s="25"/>
      <c r="I35" s="25"/>
      <c r="J35" s="25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>
        <f t="shared" si="0"/>
        <v>0</v>
      </c>
      <c r="AJ35" s="11"/>
    </row>
    <row r="36" spans="1:36" ht="66.75" customHeight="1" x14ac:dyDescent="0.35">
      <c r="A36" s="22">
        <v>28</v>
      </c>
      <c r="B36" s="74" t="str" cm="1">
        <f t="array" ref="B36">TRANSPOSE('AVANCE D'!B39)</f>
        <v>FIGUERA NAVARRO DALIA PATRICIA</v>
      </c>
      <c r="C36" s="82" t="s">
        <v>19</v>
      </c>
      <c r="D36" s="58"/>
      <c r="E36" s="25"/>
      <c r="F36" s="25"/>
      <c r="G36" s="25"/>
      <c r="H36" s="25"/>
      <c r="I36" s="25"/>
      <c r="J36" s="25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>
        <f t="shared" si="0"/>
        <v>0</v>
      </c>
      <c r="AJ36" s="11"/>
    </row>
    <row r="37" spans="1:36" ht="66.75" customHeight="1" x14ac:dyDescent="0.35">
      <c r="A37" s="22">
        <v>29</v>
      </c>
      <c r="B37" s="74" t="str" cm="1">
        <f t="array" ref="B37">TRANSPOSE('AVANCE D'!B40)</f>
        <v>QUIJADA SERBERI OSMAELIS DEL CARMEN</v>
      </c>
      <c r="C37" s="82" t="s">
        <v>19</v>
      </c>
      <c r="D37" s="58"/>
      <c r="E37" s="25"/>
      <c r="F37" s="25"/>
      <c r="G37" s="25"/>
      <c r="H37" s="25"/>
      <c r="I37" s="25"/>
      <c r="J37" s="25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>
        <f t="shared" si="0"/>
        <v>0</v>
      </c>
      <c r="AJ37" s="11"/>
    </row>
    <row r="38" spans="1:36" ht="66.75" customHeight="1" x14ac:dyDescent="0.35">
      <c r="A38" s="22">
        <v>30</v>
      </c>
      <c r="B38" s="74" t="str" cm="1">
        <f t="array" ref="B38">TRANSPOSE('AVANCE D'!B41)</f>
        <v>GUERRA CASTILLO DANIEL ALEJANDRO</v>
      </c>
      <c r="C38" s="82" t="s">
        <v>17</v>
      </c>
      <c r="D38" s="58"/>
      <c r="E38" s="25"/>
      <c r="F38" s="25"/>
      <c r="G38" s="25"/>
      <c r="H38" s="25"/>
      <c r="I38" s="25"/>
      <c r="J38" s="25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>
        <f t="shared" si="0"/>
        <v>0</v>
      </c>
      <c r="AJ38" s="11"/>
    </row>
    <row r="39" spans="1:36" ht="66.75" customHeight="1" x14ac:dyDescent="0.35">
      <c r="A39" s="22">
        <v>31</v>
      </c>
      <c r="B39" s="74" t="str" cm="1">
        <f t="array" ref="B39">TRANSPOSE('AVANCE D'!B42)</f>
        <v>MALAVE LORETO ALEYMAR ALBANY</v>
      </c>
      <c r="C39" s="82" t="s">
        <v>19</v>
      </c>
      <c r="D39" s="58"/>
      <c r="E39" s="25"/>
      <c r="F39" s="25"/>
      <c r="G39" s="25"/>
      <c r="H39" s="25"/>
      <c r="I39" s="25"/>
      <c r="J39" s="25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>
        <f t="shared" si="0"/>
        <v>0</v>
      </c>
      <c r="AJ39" s="11"/>
    </row>
    <row r="40" spans="1:36" ht="66.75" customHeight="1" x14ac:dyDescent="0.35">
      <c r="A40" s="22">
        <v>32</v>
      </c>
      <c r="B40" s="74" t="str" cm="1">
        <f t="array" ref="B40">TRANSPOSE('AVANCE D'!B43)</f>
        <v>AVILA TORREALBA MARTHALUX ALEJANDRA</v>
      </c>
      <c r="C40" s="82" t="s">
        <v>19</v>
      </c>
      <c r="D40" s="58"/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>
        <f t="shared" si="0"/>
        <v>0</v>
      </c>
      <c r="AJ40" s="11"/>
    </row>
    <row r="41" spans="1:36" ht="66.75" customHeight="1" x14ac:dyDescent="0.35">
      <c r="A41" s="22">
        <v>33</v>
      </c>
      <c r="B41" s="74" t="str" cm="1">
        <f t="array" ref="B41">TRANSPOSE('AVANCE D'!B44)</f>
        <v>BOLÍVAR GONZÁLEZ ASHLEY VALENTINA</v>
      </c>
      <c r="C41" s="82" t="s">
        <v>19</v>
      </c>
      <c r="D41" s="58"/>
      <c r="E41" s="25"/>
      <c r="F41" s="25"/>
      <c r="G41" s="25"/>
      <c r="H41" s="25"/>
      <c r="I41" s="25"/>
      <c r="J41" s="25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>
        <f t="shared" si="0"/>
        <v>0</v>
      </c>
      <c r="AJ41" s="11"/>
    </row>
    <row r="42" spans="1:36" ht="66.75" customHeight="1" x14ac:dyDescent="0.35">
      <c r="A42" s="22">
        <v>34</v>
      </c>
      <c r="B42" s="74" t="str" cm="1">
        <f t="array" ref="B42">TRANSPOSE('AVANCE D'!B45)</f>
        <v>QUIJADA ORSINI MEYLER ALEXANDER</v>
      </c>
      <c r="C42" s="82" t="s">
        <v>17</v>
      </c>
      <c r="D42" s="58"/>
      <c r="E42" s="46"/>
      <c r="F42" s="46"/>
      <c r="G42" s="46"/>
      <c r="H42" s="46"/>
      <c r="I42" s="46"/>
      <c r="J42" s="46"/>
      <c r="K42" s="46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27">
        <f t="shared" si="0"/>
        <v>0</v>
      </c>
      <c r="AJ42" s="11"/>
    </row>
    <row r="43" spans="1:36" x14ac:dyDescent="0.35">
      <c r="B43" s="9"/>
    </row>
  </sheetData>
  <sheetProtection algorithmName="SHA-512" hashValue="vj435Pm93zVTnQBYOEZbjbGHdvLSxlF3kjoRZeMEHKAXIVTqXfZskUImkCt5Q5JjFS56tP50mSo/v94uMN0lzQ==" saltValue="wuTdROV4dIzloHRonusJ7w==" spinCount="100000" sheet="1" objects="1" scenarios="1"/>
  <mergeCells count="41">
    <mergeCell ref="O4:O7"/>
    <mergeCell ref="AF2:AH2"/>
    <mergeCell ref="A6:B6"/>
    <mergeCell ref="AC4:AC7"/>
    <mergeCell ref="AD4:AD7"/>
    <mergeCell ref="AE4:AE7"/>
    <mergeCell ref="AF4:AF7"/>
    <mergeCell ref="Q4:Q7"/>
    <mergeCell ref="R4:R7"/>
    <mergeCell ref="S4:S7"/>
    <mergeCell ref="T4:T7"/>
    <mergeCell ref="U4:U7"/>
    <mergeCell ref="V4:V7"/>
    <mergeCell ref="K4:K7"/>
    <mergeCell ref="L4:L7"/>
    <mergeCell ref="M4:M7"/>
    <mergeCell ref="N4:N7"/>
    <mergeCell ref="AG4:AG7"/>
    <mergeCell ref="AH4:AH7"/>
    <mergeCell ref="W4:W7"/>
    <mergeCell ref="X4:X7"/>
    <mergeCell ref="Y4:Y7"/>
    <mergeCell ref="Z4:Z7"/>
    <mergeCell ref="AA4:AA7"/>
    <mergeCell ref="AB4:AB7"/>
    <mergeCell ref="P4:P7"/>
    <mergeCell ref="AI2:AI6"/>
    <mergeCell ref="D3:AH3"/>
    <mergeCell ref="C4:C7"/>
    <mergeCell ref="D4:D7"/>
    <mergeCell ref="E4:E7"/>
    <mergeCell ref="F4:F7"/>
    <mergeCell ref="G4:G7"/>
    <mergeCell ref="H4:H7"/>
    <mergeCell ref="I4:I7"/>
    <mergeCell ref="J4:J7"/>
    <mergeCell ref="D2:N2"/>
    <mergeCell ref="O2:S2"/>
    <mergeCell ref="T2:W2"/>
    <mergeCell ref="X2:Y2"/>
    <mergeCell ref="AB2:AC2"/>
  </mergeCells>
  <pageMargins left="0.19685039370078741" right="0.11811023622047245" top="0.19685039370078741" bottom="0.19685039370078741" header="0.51181102362204722" footer="0.51181102362204722"/>
  <pageSetup scale="2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D10-6019-4C28-9F21-3082294875B9}">
  <sheetPr>
    <pageSetUpPr autoPageBreaks="0"/>
  </sheetPr>
  <dimension ref="A1:X53"/>
  <sheetViews>
    <sheetView view="pageBreakPreview" zoomScale="60" zoomScaleNormal="60" zoomScalePageLayoutView="80" workbookViewId="0">
      <pane ySplit="11" topLeftCell="A12" activePane="bottomLeft" state="frozen"/>
      <selection pane="bottomLeft" activeCell="M14" sqref="M14"/>
    </sheetView>
  </sheetViews>
  <sheetFormatPr baseColWidth="10" defaultColWidth="11.42578125" defaultRowHeight="16.5" x14ac:dyDescent="0.3"/>
  <cols>
    <col min="1" max="1" width="13.5703125" style="1" customWidth="1"/>
    <col min="2" max="2" width="64.140625" style="2" customWidth="1"/>
    <col min="3" max="12" width="8.7109375" style="1" customWidth="1"/>
    <col min="13" max="14" width="7.42578125" style="1" customWidth="1"/>
    <col min="15" max="15" width="10.140625" style="1" customWidth="1"/>
    <col min="16" max="16" width="7.140625" customWidth="1"/>
    <col min="17" max="18" width="7.7109375" customWidth="1"/>
    <col min="19" max="19" width="9.5703125" customWidth="1"/>
    <col min="20" max="20" width="10.42578125" customWidth="1"/>
    <col min="21" max="22" width="7.42578125" customWidth="1"/>
    <col min="23" max="23" width="7.140625" customWidth="1"/>
    <col min="24" max="24" width="39.42578125" customWidth="1"/>
  </cols>
  <sheetData>
    <row r="1" spans="1:24" ht="29.25" customHeight="1" x14ac:dyDescent="0.35">
      <c r="A1" s="3"/>
      <c r="B1" s="4"/>
      <c r="C1" s="108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6" t="s">
        <v>27</v>
      </c>
      <c r="U1" s="107"/>
      <c r="V1" s="107"/>
      <c r="W1" s="107"/>
      <c r="X1" s="107"/>
    </row>
    <row r="2" spans="1:24" ht="14.1" customHeight="1" x14ac:dyDescent="0.3">
      <c r="A2" s="3"/>
      <c r="B2" s="4"/>
      <c r="C2" s="111" t="s">
        <v>26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  <c r="P2" s="117" t="s">
        <v>24</v>
      </c>
      <c r="Q2" s="119" t="s">
        <v>2</v>
      </c>
      <c r="R2" s="119"/>
      <c r="S2" s="119"/>
      <c r="T2" s="120" t="s">
        <v>3</v>
      </c>
      <c r="U2" s="84" t="s">
        <v>4</v>
      </c>
      <c r="V2" s="84" t="s">
        <v>5</v>
      </c>
      <c r="W2" s="44"/>
      <c r="X2" s="87" t="s">
        <v>6</v>
      </c>
    </row>
    <row r="3" spans="1:24" ht="20.100000000000001" customHeight="1" x14ac:dyDescent="0.3">
      <c r="A3" s="5"/>
      <c r="B3" s="51" t="s">
        <v>7</v>
      </c>
      <c r="C3" s="114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  <c r="P3" s="118"/>
      <c r="Q3" s="119"/>
      <c r="R3" s="119"/>
      <c r="S3" s="119"/>
      <c r="T3" s="120"/>
      <c r="U3" s="85"/>
      <c r="V3" s="85"/>
      <c r="W3" s="92" t="s">
        <v>1</v>
      </c>
      <c r="X3" s="87"/>
    </row>
    <row r="4" spans="1:24" ht="28.5" customHeight="1" x14ac:dyDescent="0.3">
      <c r="A4" s="6"/>
      <c r="B4" s="51" t="s">
        <v>8</v>
      </c>
      <c r="C4" s="95" t="s">
        <v>29</v>
      </c>
      <c r="D4" s="98">
        <f t="array" ref="D4">TRANSPOSE(D11)%</f>
        <v>0.1</v>
      </c>
      <c r="E4" s="95" t="s">
        <v>38</v>
      </c>
      <c r="F4" s="98">
        <f t="array" ref="F4">TRANSPOSE(F11)%</f>
        <v>0.05</v>
      </c>
      <c r="G4" s="95"/>
      <c r="H4" s="98" cm="1">
        <f t="array" ref="H4">TRANSPOSE(H11)%</f>
        <v>0</v>
      </c>
      <c r="I4" s="95"/>
      <c r="J4" s="98" cm="1">
        <f t="array" ref="J4">TRANSPOSE(J11)%</f>
        <v>0</v>
      </c>
      <c r="K4" s="95"/>
      <c r="L4" s="103" cm="1">
        <f t="array" ref="L4">TRANSPOSE(L11)%</f>
        <v>0</v>
      </c>
      <c r="M4" s="95"/>
      <c r="N4" s="103" cm="1">
        <f t="array" ref="N4">TRANSPOSE(N11)%</f>
        <v>0</v>
      </c>
      <c r="O4" s="13" t="s">
        <v>9</v>
      </c>
      <c r="P4" s="118"/>
      <c r="Q4" s="88" t="s">
        <v>10</v>
      </c>
      <c r="R4" s="88" t="s">
        <v>11</v>
      </c>
      <c r="S4" s="90" t="s">
        <v>12</v>
      </c>
      <c r="T4" s="120"/>
      <c r="U4" s="85"/>
      <c r="V4" s="85"/>
      <c r="W4" s="92"/>
      <c r="X4" s="87"/>
    </row>
    <row r="5" spans="1:24" ht="45" customHeight="1" x14ac:dyDescent="0.3">
      <c r="A5" s="101"/>
      <c r="B5" s="102"/>
      <c r="C5" s="96"/>
      <c r="D5" s="99"/>
      <c r="E5" s="96"/>
      <c r="F5" s="99"/>
      <c r="G5" s="96"/>
      <c r="H5" s="99"/>
      <c r="I5" s="96"/>
      <c r="J5" s="99"/>
      <c r="K5" s="96"/>
      <c r="L5" s="104"/>
      <c r="M5" s="96"/>
      <c r="N5" s="104"/>
      <c r="O5" s="14">
        <f>SUM(D11,F11,H11,J11,L11,N11)</f>
        <v>15</v>
      </c>
      <c r="P5" s="118"/>
      <c r="Q5" s="88"/>
      <c r="R5" s="88"/>
      <c r="S5" s="90"/>
      <c r="T5" s="120"/>
      <c r="U5" s="85"/>
      <c r="V5" s="85"/>
      <c r="W5" s="92"/>
      <c r="X5" s="87"/>
    </row>
    <row r="6" spans="1:24" ht="25.5" customHeight="1" x14ac:dyDescent="0.3">
      <c r="A6" s="52" t="s">
        <v>33</v>
      </c>
      <c r="B6" s="15"/>
      <c r="C6" s="96"/>
      <c r="D6" s="99"/>
      <c r="E6" s="96"/>
      <c r="F6" s="99"/>
      <c r="G6" s="96"/>
      <c r="H6" s="99"/>
      <c r="I6" s="96"/>
      <c r="J6" s="99"/>
      <c r="K6" s="96"/>
      <c r="L6" s="104"/>
      <c r="M6" s="96"/>
      <c r="N6" s="104"/>
      <c r="O6" s="103" t="s">
        <v>13</v>
      </c>
      <c r="P6" s="118"/>
      <c r="Q6" s="88"/>
      <c r="R6" s="88"/>
      <c r="S6" s="90"/>
      <c r="T6" s="120"/>
      <c r="U6" s="85"/>
      <c r="V6" s="85"/>
      <c r="W6" s="92"/>
      <c r="X6" s="87"/>
    </row>
    <row r="7" spans="1:24" ht="25.5" customHeight="1" x14ac:dyDescent="0.3">
      <c r="A7" s="52" t="s">
        <v>34</v>
      </c>
      <c r="B7" s="53" t="s">
        <v>45</v>
      </c>
      <c r="C7" s="96"/>
      <c r="D7" s="99"/>
      <c r="E7" s="96"/>
      <c r="F7" s="99"/>
      <c r="G7" s="96"/>
      <c r="H7" s="99"/>
      <c r="I7" s="96"/>
      <c r="J7" s="99"/>
      <c r="K7" s="96"/>
      <c r="L7" s="104"/>
      <c r="M7" s="96"/>
      <c r="N7" s="104"/>
      <c r="O7" s="110"/>
      <c r="P7" s="118"/>
      <c r="Q7" s="88"/>
      <c r="R7" s="88"/>
      <c r="S7" s="90"/>
      <c r="T7" s="120"/>
      <c r="U7" s="85"/>
      <c r="V7" s="85"/>
      <c r="W7" s="92"/>
      <c r="X7" s="87"/>
    </row>
    <row r="8" spans="1:24" ht="25.5" customHeight="1" x14ac:dyDescent="0.3">
      <c r="A8" s="52" t="s">
        <v>35</v>
      </c>
      <c r="B8" s="53" t="s">
        <v>37</v>
      </c>
      <c r="C8" s="96"/>
      <c r="D8" s="99"/>
      <c r="E8" s="96"/>
      <c r="F8" s="99"/>
      <c r="G8" s="96"/>
      <c r="H8" s="99"/>
      <c r="I8" s="96"/>
      <c r="J8" s="99"/>
      <c r="K8" s="96"/>
      <c r="L8" s="104"/>
      <c r="M8" s="96"/>
      <c r="N8" s="104"/>
      <c r="O8" s="110"/>
      <c r="P8" s="118"/>
      <c r="Q8" s="88"/>
      <c r="R8" s="88"/>
      <c r="S8" s="90"/>
      <c r="T8" s="120"/>
      <c r="U8" s="85"/>
      <c r="V8" s="85"/>
      <c r="W8" s="92"/>
      <c r="X8" s="87"/>
    </row>
    <row r="9" spans="1:24" ht="25.5" customHeight="1" x14ac:dyDescent="0.3">
      <c r="A9" s="52" t="s">
        <v>36</v>
      </c>
      <c r="B9" s="15" t="s">
        <v>38</v>
      </c>
      <c r="C9" s="96"/>
      <c r="D9" s="99"/>
      <c r="E9" s="96"/>
      <c r="F9" s="99"/>
      <c r="G9" s="96"/>
      <c r="H9" s="99"/>
      <c r="I9" s="96"/>
      <c r="J9" s="99"/>
      <c r="K9" s="96"/>
      <c r="L9" s="104"/>
      <c r="M9" s="96"/>
      <c r="N9" s="104"/>
      <c r="O9" s="110"/>
      <c r="P9" s="118"/>
      <c r="Q9" s="88"/>
      <c r="R9" s="88"/>
      <c r="S9" s="90"/>
      <c r="T9" s="120"/>
      <c r="U9" s="85"/>
      <c r="V9" s="85"/>
      <c r="W9" s="92"/>
      <c r="X9" s="87"/>
    </row>
    <row r="10" spans="1:24" ht="20.25" x14ac:dyDescent="0.3">
      <c r="A10" s="93" t="s">
        <v>30</v>
      </c>
      <c r="B10" s="94"/>
      <c r="C10" s="97"/>
      <c r="D10" s="100"/>
      <c r="E10" s="97"/>
      <c r="F10" s="100"/>
      <c r="G10" s="97"/>
      <c r="H10" s="100"/>
      <c r="I10" s="97"/>
      <c r="J10" s="100"/>
      <c r="K10" s="97"/>
      <c r="L10" s="105"/>
      <c r="M10" s="97"/>
      <c r="N10" s="105"/>
      <c r="O10" s="110"/>
      <c r="P10" s="118"/>
      <c r="Q10" s="88"/>
      <c r="R10" s="88"/>
      <c r="S10" s="90"/>
      <c r="T10" s="120"/>
      <c r="U10" s="85"/>
      <c r="V10" s="85"/>
      <c r="W10" s="92"/>
      <c r="X10" s="87"/>
    </row>
    <row r="11" spans="1:24" s="10" customFormat="1" ht="30.75" customHeight="1" thickBot="1" x14ac:dyDescent="0.4">
      <c r="A11" s="40" t="s">
        <v>14</v>
      </c>
      <c r="B11" s="41" t="s">
        <v>15</v>
      </c>
      <c r="C11" s="70" t="s">
        <v>16</v>
      </c>
      <c r="D11" s="71">
        <v>10</v>
      </c>
      <c r="E11" s="70" t="s">
        <v>16</v>
      </c>
      <c r="F11" s="71">
        <v>5</v>
      </c>
      <c r="G11" s="70" t="s">
        <v>16</v>
      </c>
      <c r="H11" s="71"/>
      <c r="I11" s="70" t="s">
        <v>16</v>
      </c>
      <c r="J11" s="71"/>
      <c r="K11" s="70" t="s">
        <v>16</v>
      </c>
      <c r="L11" s="71"/>
      <c r="M11" s="70" t="s">
        <v>16</v>
      </c>
      <c r="N11" s="71"/>
      <c r="O11" s="110"/>
      <c r="P11" s="118"/>
      <c r="Q11" s="89"/>
      <c r="R11" s="89"/>
      <c r="S11" s="91"/>
      <c r="T11" s="120"/>
      <c r="U11" s="86"/>
      <c r="V11" s="86"/>
      <c r="W11" s="92"/>
      <c r="X11" s="87"/>
    </row>
    <row r="12" spans="1:24" s="12" customFormat="1" ht="55.5" customHeight="1" thickBot="1" x14ac:dyDescent="0.35">
      <c r="A12" s="66">
        <v>1</v>
      </c>
      <c r="B12" s="78" t="s">
        <v>182</v>
      </c>
      <c r="C12" s="30"/>
      <c r="D12" s="31">
        <f t="shared" ref="D12:D47" si="0">N(C12)*($D$11)/100</f>
        <v>0</v>
      </c>
      <c r="E12" s="30"/>
      <c r="F12" s="31">
        <f t="shared" ref="F12:F47" si="1">N(E12)*($F$11)/100</f>
        <v>0</v>
      </c>
      <c r="G12" s="30"/>
      <c r="H12" s="31">
        <f t="shared" ref="H12:H47" si="2">N(G12)*($H$11)/100</f>
        <v>0</v>
      </c>
      <c r="I12" s="30"/>
      <c r="J12" s="31">
        <f t="shared" ref="J12:J47" si="3">N(I12)*($J$11)/100</f>
        <v>0</v>
      </c>
      <c r="K12" s="30"/>
      <c r="L12" s="31">
        <f t="shared" ref="L12:L16" si="4">N(K12)*($L$11)/100</f>
        <v>0</v>
      </c>
      <c r="M12" s="30"/>
      <c r="N12" s="31">
        <f>N(M12)*($N$11)/100</f>
        <v>0</v>
      </c>
      <c r="O12" s="42">
        <f>SUM(D12,F12,H12,J12,L12,N12)</f>
        <v>0</v>
      </c>
      <c r="P12" s="50"/>
      <c r="Q12" s="37"/>
      <c r="R12" s="37"/>
      <c r="S12" s="36">
        <f>SUM(IFERROR(VALUE(SUBSTITUTE(P12,".",",")), N(P12)),IFERROR(VALUE(SUBSTITUTE(Q12,".",",")), N(Q12)),IFERROR(VALUE(SUBSTITUTE(R12,".",",")), N(R12)))</f>
        <v>0</v>
      </c>
      <c r="T12" s="43">
        <f>SUM(O12,S12)</f>
        <v>0</v>
      </c>
      <c r="U12" s="67">
        <f>T12</f>
        <v>0</v>
      </c>
      <c r="V12" s="45"/>
      <c r="W12" s="83" cm="1">
        <f t="array" ref="W12">TRANSPOSE('ASISTENCIA E'!AI9)</f>
        <v>0</v>
      </c>
      <c r="X12" s="33"/>
    </row>
    <row r="13" spans="1:24" s="12" customFormat="1" ht="55.5" customHeight="1" thickBot="1" x14ac:dyDescent="0.35">
      <c r="A13" s="66">
        <f t="shared" ref="A13:A47" si="5">IF(B13&lt;&gt;"",A12 + 1, "")</f>
        <v>2</v>
      </c>
      <c r="B13" s="79" t="s">
        <v>183</v>
      </c>
      <c r="C13" s="30"/>
      <c r="D13" s="31">
        <f t="shared" si="0"/>
        <v>0</v>
      </c>
      <c r="E13" s="30"/>
      <c r="F13" s="31">
        <f t="shared" si="1"/>
        <v>0</v>
      </c>
      <c r="G13" s="30"/>
      <c r="H13" s="31">
        <f t="shared" si="2"/>
        <v>0</v>
      </c>
      <c r="I13" s="30"/>
      <c r="J13" s="31">
        <f t="shared" si="3"/>
        <v>0</v>
      </c>
      <c r="K13" s="30"/>
      <c r="L13" s="31">
        <f t="shared" si="4"/>
        <v>0</v>
      </c>
      <c r="M13" s="30"/>
      <c r="N13" s="31">
        <f t="shared" ref="N13:N16" si="6">N(M13)*($N$11)/100</f>
        <v>0</v>
      </c>
      <c r="O13" s="42">
        <f t="shared" ref="O13:O47" si="7">SUM(D13,F13,H13,J13,L13,N13)</f>
        <v>0</v>
      </c>
      <c r="P13" s="50"/>
      <c r="Q13" s="39"/>
      <c r="R13" s="39"/>
      <c r="S13" s="36">
        <f t="shared" ref="S13:S47" si="8">SUM(IFERROR(VALUE(SUBSTITUTE(P13,".",",")), N(P13)),IFERROR(VALUE(SUBSTITUTE(Q13,".",",")), N(Q13)),IFERROR(VALUE(SUBSTITUTE(R13,".",",")), N(R13)))</f>
        <v>0</v>
      </c>
      <c r="T13" s="43">
        <f t="shared" ref="T13:T47" si="9">SUM(O13,S13)</f>
        <v>0</v>
      </c>
      <c r="U13" s="67">
        <f t="shared" ref="U13:U47" si="10">T13</f>
        <v>0</v>
      </c>
      <c r="V13" s="45"/>
      <c r="W13" s="83" cm="1">
        <f t="array" ref="W13">TRANSPOSE('ASISTENCIA E'!AI10)</f>
        <v>0</v>
      </c>
      <c r="X13" s="33"/>
    </row>
    <row r="14" spans="1:24" s="12" customFormat="1" ht="55.5" customHeight="1" thickBot="1" x14ac:dyDescent="0.35">
      <c r="A14" s="66">
        <f t="shared" si="5"/>
        <v>3</v>
      </c>
      <c r="B14" s="79" t="s">
        <v>184</v>
      </c>
      <c r="C14" s="30"/>
      <c r="D14" s="31">
        <f t="shared" si="0"/>
        <v>0</v>
      </c>
      <c r="E14" s="30"/>
      <c r="F14" s="31">
        <f t="shared" si="1"/>
        <v>0</v>
      </c>
      <c r="G14" s="30"/>
      <c r="H14" s="31">
        <f t="shared" si="2"/>
        <v>0</v>
      </c>
      <c r="I14" s="30"/>
      <c r="J14" s="31">
        <f t="shared" si="3"/>
        <v>0</v>
      </c>
      <c r="K14" s="30"/>
      <c r="L14" s="31">
        <f t="shared" si="4"/>
        <v>0</v>
      </c>
      <c r="M14" s="30"/>
      <c r="N14" s="31">
        <f t="shared" si="6"/>
        <v>0</v>
      </c>
      <c r="O14" s="42">
        <f t="shared" si="7"/>
        <v>0</v>
      </c>
      <c r="P14" s="50"/>
      <c r="Q14" s="39"/>
      <c r="R14" s="37"/>
      <c r="S14" s="36">
        <f t="shared" si="8"/>
        <v>0</v>
      </c>
      <c r="T14" s="43">
        <f t="shared" si="9"/>
        <v>0</v>
      </c>
      <c r="U14" s="67">
        <f t="shared" si="10"/>
        <v>0</v>
      </c>
      <c r="V14" s="45"/>
      <c r="W14" s="83" cm="1">
        <f t="array" ref="W14">TRANSPOSE('ASISTENCIA E'!AI11)</f>
        <v>0</v>
      </c>
      <c r="X14" s="33"/>
    </row>
    <row r="15" spans="1:24" s="12" customFormat="1" ht="55.5" customHeight="1" thickBot="1" x14ac:dyDescent="0.35">
      <c r="A15" s="66">
        <f t="shared" si="5"/>
        <v>4</v>
      </c>
      <c r="B15" s="79" t="s">
        <v>185</v>
      </c>
      <c r="C15" s="30"/>
      <c r="D15" s="31">
        <f t="shared" si="0"/>
        <v>0</v>
      </c>
      <c r="E15" s="30"/>
      <c r="F15" s="31">
        <f t="shared" si="1"/>
        <v>0</v>
      </c>
      <c r="G15" s="30"/>
      <c r="H15" s="31">
        <f t="shared" si="2"/>
        <v>0</v>
      </c>
      <c r="I15" s="30"/>
      <c r="J15" s="31">
        <f t="shared" si="3"/>
        <v>0</v>
      </c>
      <c r="K15" s="30"/>
      <c r="L15" s="31">
        <f t="shared" si="4"/>
        <v>0</v>
      </c>
      <c r="M15" s="30"/>
      <c r="N15" s="31">
        <f t="shared" si="6"/>
        <v>0</v>
      </c>
      <c r="O15" s="42">
        <f t="shared" si="7"/>
        <v>0</v>
      </c>
      <c r="P15" s="50"/>
      <c r="Q15" s="39"/>
      <c r="R15" s="39"/>
      <c r="S15" s="36">
        <f t="shared" si="8"/>
        <v>0</v>
      </c>
      <c r="T15" s="43">
        <f t="shared" si="9"/>
        <v>0</v>
      </c>
      <c r="U15" s="67">
        <f t="shared" si="10"/>
        <v>0</v>
      </c>
      <c r="V15" s="45"/>
      <c r="W15" s="83" cm="1">
        <f t="array" ref="W15">TRANSPOSE('ASISTENCIA E'!AI12)</f>
        <v>0</v>
      </c>
      <c r="X15" s="33"/>
    </row>
    <row r="16" spans="1:24" s="12" customFormat="1" ht="55.5" customHeight="1" thickBot="1" x14ac:dyDescent="0.35">
      <c r="A16" s="66">
        <f t="shared" si="5"/>
        <v>5</v>
      </c>
      <c r="B16" s="79" t="s">
        <v>186</v>
      </c>
      <c r="C16" s="30"/>
      <c r="D16" s="31">
        <f t="shared" si="0"/>
        <v>0</v>
      </c>
      <c r="E16" s="30"/>
      <c r="F16" s="31">
        <f t="shared" si="1"/>
        <v>0</v>
      </c>
      <c r="G16" s="30"/>
      <c r="H16" s="31">
        <f t="shared" si="2"/>
        <v>0</v>
      </c>
      <c r="I16" s="30"/>
      <c r="J16" s="31">
        <f t="shared" si="3"/>
        <v>0</v>
      </c>
      <c r="K16" s="30"/>
      <c r="L16" s="31">
        <f t="shared" si="4"/>
        <v>0</v>
      </c>
      <c r="M16" s="30"/>
      <c r="N16" s="31">
        <f t="shared" si="6"/>
        <v>0</v>
      </c>
      <c r="O16" s="42">
        <f t="shared" si="7"/>
        <v>0</v>
      </c>
      <c r="P16" s="50"/>
      <c r="Q16" s="39"/>
      <c r="R16" s="39"/>
      <c r="S16" s="36">
        <f t="shared" si="8"/>
        <v>0</v>
      </c>
      <c r="T16" s="43">
        <f t="shared" si="9"/>
        <v>0</v>
      </c>
      <c r="U16" s="67">
        <f t="shared" si="10"/>
        <v>0</v>
      </c>
      <c r="V16" s="45"/>
      <c r="W16" s="83" cm="1">
        <f t="array" ref="W16">TRANSPOSE('ASISTENCIA E'!AI13)</f>
        <v>0</v>
      </c>
      <c r="X16" s="33"/>
    </row>
    <row r="17" spans="1:24" s="12" customFormat="1" ht="55.5" customHeight="1" thickBot="1" x14ac:dyDescent="0.35">
      <c r="A17" s="66">
        <f t="shared" si="5"/>
        <v>6</v>
      </c>
      <c r="B17" s="79" t="s">
        <v>187</v>
      </c>
      <c r="C17" s="30"/>
      <c r="D17" s="31">
        <f t="shared" si="0"/>
        <v>0</v>
      </c>
      <c r="E17" s="30"/>
      <c r="F17" s="31">
        <f t="shared" si="1"/>
        <v>0</v>
      </c>
      <c r="G17" s="30"/>
      <c r="H17" s="31">
        <f t="shared" si="2"/>
        <v>0</v>
      </c>
      <c r="I17" s="30"/>
      <c r="J17" s="31">
        <f t="shared" si="3"/>
        <v>0</v>
      </c>
      <c r="K17" s="30"/>
      <c r="L17" s="31">
        <f>N(K17)*($L$11)/100</f>
        <v>0</v>
      </c>
      <c r="M17" s="30"/>
      <c r="N17" s="31">
        <f>N(M17)*($N$11)/100</f>
        <v>0</v>
      </c>
      <c r="O17" s="42">
        <f t="shared" si="7"/>
        <v>0</v>
      </c>
      <c r="P17" s="50"/>
      <c r="Q17" s="39"/>
      <c r="R17" s="39"/>
      <c r="S17" s="36">
        <f t="shared" si="8"/>
        <v>0</v>
      </c>
      <c r="T17" s="43">
        <f t="shared" si="9"/>
        <v>0</v>
      </c>
      <c r="U17" s="67">
        <f t="shared" si="10"/>
        <v>0</v>
      </c>
      <c r="V17" s="45"/>
      <c r="W17" s="83" cm="1">
        <f t="array" ref="W17">TRANSPOSE('ASISTENCIA E'!AI14)</f>
        <v>0</v>
      </c>
      <c r="X17" s="33"/>
    </row>
    <row r="18" spans="1:24" s="12" customFormat="1" ht="55.5" customHeight="1" thickBot="1" x14ac:dyDescent="0.35">
      <c r="A18" s="66">
        <f t="shared" si="5"/>
        <v>7</v>
      </c>
      <c r="B18" s="79" t="s">
        <v>188</v>
      </c>
      <c r="C18" s="30"/>
      <c r="D18" s="31">
        <f t="shared" si="0"/>
        <v>0</v>
      </c>
      <c r="E18" s="30"/>
      <c r="F18" s="31">
        <f t="shared" si="1"/>
        <v>0</v>
      </c>
      <c r="G18" s="30"/>
      <c r="H18" s="31">
        <f t="shared" si="2"/>
        <v>0</v>
      </c>
      <c r="I18" s="30"/>
      <c r="J18" s="31">
        <f t="shared" si="3"/>
        <v>0</v>
      </c>
      <c r="K18" s="30"/>
      <c r="L18" s="31">
        <f t="shared" ref="L18:L47" si="11">N(K18)*($L$11)/100</f>
        <v>0</v>
      </c>
      <c r="M18" s="30"/>
      <c r="N18" s="31">
        <f t="shared" ref="N18:N47" si="12">N(M18)*($N$11)/100</f>
        <v>0</v>
      </c>
      <c r="O18" s="42">
        <f t="shared" si="7"/>
        <v>0</v>
      </c>
      <c r="P18" s="50"/>
      <c r="Q18" s="39"/>
      <c r="R18" s="39"/>
      <c r="S18" s="36">
        <f t="shared" si="8"/>
        <v>0</v>
      </c>
      <c r="T18" s="43">
        <f t="shared" si="9"/>
        <v>0</v>
      </c>
      <c r="U18" s="67">
        <f t="shared" si="10"/>
        <v>0</v>
      </c>
      <c r="V18" s="45"/>
      <c r="W18" s="83" cm="1">
        <f t="array" ref="W18">TRANSPOSE('ASISTENCIA E'!AI15)</f>
        <v>0</v>
      </c>
      <c r="X18" s="33"/>
    </row>
    <row r="19" spans="1:24" s="12" customFormat="1" ht="55.5" customHeight="1" thickBot="1" x14ac:dyDescent="0.35">
      <c r="A19" s="66">
        <f t="shared" si="5"/>
        <v>8</v>
      </c>
      <c r="B19" s="79" t="s">
        <v>189</v>
      </c>
      <c r="C19" s="30"/>
      <c r="D19" s="31">
        <f t="shared" si="0"/>
        <v>0</v>
      </c>
      <c r="E19" s="30"/>
      <c r="F19" s="31">
        <f t="shared" si="1"/>
        <v>0</v>
      </c>
      <c r="G19" s="30"/>
      <c r="H19" s="31">
        <f t="shared" si="2"/>
        <v>0</v>
      </c>
      <c r="I19" s="30"/>
      <c r="J19" s="31">
        <f t="shared" si="3"/>
        <v>0</v>
      </c>
      <c r="K19" s="30"/>
      <c r="L19" s="31">
        <f t="shared" si="11"/>
        <v>0</v>
      </c>
      <c r="M19" s="30"/>
      <c r="N19" s="31">
        <f t="shared" si="12"/>
        <v>0</v>
      </c>
      <c r="O19" s="42">
        <f t="shared" si="7"/>
        <v>0</v>
      </c>
      <c r="P19" s="50"/>
      <c r="Q19" s="39"/>
      <c r="R19" s="39"/>
      <c r="S19" s="36">
        <f t="shared" si="8"/>
        <v>0</v>
      </c>
      <c r="T19" s="43">
        <f t="shared" si="9"/>
        <v>0</v>
      </c>
      <c r="U19" s="67">
        <f t="shared" si="10"/>
        <v>0</v>
      </c>
      <c r="V19" s="45"/>
      <c r="W19" s="83" cm="1">
        <f t="array" ref="W19">TRANSPOSE('ASISTENCIA E'!AI16)</f>
        <v>0</v>
      </c>
      <c r="X19" s="33"/>
    </row>
    <row r="20" spans="1:24" s="12" customFormat="1" ht="55.5" customHeight="1" thickBot="1" x14ac:dyDescent="0.35">
      <c r="A20" s="66">
        <f t="shared" si="5"/>
        <v>9</v>
      </c>
      <c r="B20" s="79" t="s">
        <v>190</v>
      </c>
      <c r="C20" s="30"/>
      <c r="D20" s="31">
        <f t="shared" si="0"/>
        <v>0</v>
      </c>
      <c r="E20" s="30"/>
      <c r="F20" s="31">
        <f t="shared" si="1"/>
        <v>0</v>
      </c>
      <c r="G20" s="30"/>
      <c r="H20" s="31">
        <f t="shared" si="2"/>
        <v>0</v>
      </c>
      <c r="I20" s="30"/>
      <c r="J20" s="31">
        <f t="shared" si="3"/>
        <v>0</v>
      </c>
      <c r="K20" s="30"/>
      <c r="L20" s="31">
        <f t="shared" si="11"/>
        <v>0</v>
      </c>
      <c r="M20" s="30"/>
      <c r="N20" s="31">
        <f t="shared" si="12"/>
        <v>0</v>
      </c>
      <c r="O20" s="42">
        <f t="shared" si="7"/>
        <v>0</v>
      </c>
      <c r="P20" s="50"/>
      <c r="Q20" s="39"/>
      <c r="R20" s="39"/>
      <c r="S20" s="36">
        <f t="shared" si="8"/>
        <v>0</v>
      </c>
      <c r="T20" s="43">
        <f t="shared" si="9"/>
        <v>0</v>
      </c>
      <c r="U20" s="67">
        <f t="shared" si="10"/>
        <v>0</v>
      </c>
      <c r="V20" s="45"/>
      <c r="W20" s="83" cm="1">
        <f t="array" ref="W20">TRANSPOSE('ASISTENCIA E'!AI17)</f>
        <v>0</v>
      </c>
      <c r="X20" s="33"/>
    </row>
    <row r="21" spans="1:24" s="12" customFormat="1" ht="55.5" customHeight="1" thickBot="1" x14ac:dyDescent="0.35">
      <c r="A21" s="66">
        <f t="shared" si="5"/>
        <v>10</v>
      </c>
      <c r="B21" s="79" t="s">
        <v>191</v>
      </c>
      <c r="C21" s="30"/>
      <c r="D21" s="31">
        <f t="shared" si="0"/>
        <v>0</v>
      </c>
      <c r="E21" s="30"/>
      <c r="F21" s="31">
        <f t="shared" si="1"/>
        <v>0</v>
      </c>
      <c r="G21" s="30"/>
      <c r="H21" s="31">
        <f t="shared" si="2"/>
        <v>0</v>
      </c>
      <c r="I21" s="30"/>
      <c r="J21" s="31">
        <f t="shared" si="3"/>
        <v>0</v>
      </c>
      <c r="K21" s="30"/>
      <c r="L21" s="31">
        <f t="shared" si="11"/>
        <v>0</v>
      </c>
      <c r="M21" s="30"/>
      <c r="N21" s="31">
        <f t="shared" si="12"/>
        <v>0</v>
      </c>
      <c r="O21" s="42">
        <f t="shared" si="7"/>
        <v>0</v>
      </c>
      <c r="P21" s="50"/>
      <c r="Q21" s="39"/>
      <c r="R21" s="39"/>
      <c r="S21" s="36">
        <f t="shared" si="8"/>
        <v>0</v>
      </c>
      <c r="T21" s="43">
        <f t="shared" si="9"/>
        <v>0</v>
      </c>
      <c r="U21" s="67">
        <f t="shared" si="10"/>
        <v>0</v>
      </c>
      <c r="V21" s="45"/>
      <c r="W21" s="83" cm="1">
        <f t="array" ref="W21">TRANSPOSE('ASISTENCIA E'!AI18)</f>
        <v>0</v>
      </c>
      <c r="X21" s="33"/>
    </row>
    <row r="22" spans="1:24" s="12" customFormat="1" ht="55.5" customHeight="1" thickBot="1" x14ac:dyDescent="0.35">
      <c r="A22" s="66">
        <f t="shared" si="5"/>
        <v>11</v>
      </c>
      <c r="B22" s="79" t="s">
        <v>192</v>
      </c>
      <c r="C22" s="30"/>
      <c r="D22" s="31">
        <f t="shared" si="0"/>
        <v>0</v>
      </c>
      <c r="E22" s="30"/>
      <c r="F22" s="31">
        <f t="shared" si="1"/>
        <v>0</v>
      </c>
      <c r="G22" s="30"/>
      <c r="H22" s="31">
        <f t="shared" si="2"/>
        <v>0</v>
      </c>
      <c r="I22" s="30"/>
      <c r="J22" s="31">
        <f t="shared" si="3"/>
        <v>0</v>
      </c>
      <c r="K22" s="30"/>
      <c r="L22" s="31">
        <f t="shared" si="11"/>
        <v>0</v>
      </c>
      <c r="M22" s="30"/>
      <c r="N22" s="31">
        <f t="shared" si="12"/>
        <v>0</v>
      </c>
      <c r="O22" s="42">
        <f t="shared" si="7"/>
        <v>0</v>
      </c>
      <c r="P22" s="50"/>
      <c r="Q22" s="39"/>
      <c r="R22" s="39"/>
      <c r="S22" s="36">
        <f t="shared" si="8"/>
        <v>0</v>
      </c>
      <c r="T22" s="43">
        <f t="shared" si="9"/>
        <v>0</v>
      </c>
      <c r="U22" s="67">
        <f t="shared" si="10"/>
        <v>0</v>
      </c>
      <c r="V22" s="45"/>
      <c r="W22" s="83" cm="1">
        <f t="array" ref="W22">TRANSPOSE('ASISTENCIA E'!AI19)</f>
        <v>0</v>
      </c>
      <c r="X22" s="33"/>
    </row>
    <row r="23" spans="1:24" s="12" customFormat="1" ht="55.5" customHeight="1" thickBot="1" x14ac:dyDescent="0.35">
      <c r="A23" s="66">
        <f t="shared" si="5"/>
        <v>12</v>
      </c>
      <c r="B23" s="79" t="s">
        <v>193</v>
      </c>
      <c r="C23" s="30"/>
      <c r="D23" s="31">
        <f t="shared" si="0"/>
        <v>0</v>
      </c>
      <c r="E23" s="30"/>
      <c r="F23" s="31">
        <f t="shared" si="1"/>
        <v>0</v>
      </c>
      <c r="G23" s="30"/>
      <c r="H23" s="31">
        <f t="shared" si="2"/>
        <v>0</v>
      </c>
      <c r="I23" s="30"/>
      <c r="J23" s="31">
        <f t="shared" si="3"/>
        <v>0</v>
      </c>
      <c r="K23" s="30"/>
      <c r="L23" s="31">
        <f t="shared" si="11"/>
        <v>0</v>
      </c>
      <c r="M23" s="30"/>
      <c r="N23" s="31">
        <f t="shared" si="12"/>
        <v>0</v>
      </c>
      <c r="O23" s="42">
        <f t="shared" si="7"/>
        <v>0</v>
      </c>
      <c r="P23" s="50"/>
      <c r="Q23" s="39"/>
      <c r="R23" s="39"/>
      <c r="S23" s="36">
        <f t="shared" si="8"/>
        <v>0</v>
      </c>
      <c r="T23" s="43">
        <f t="shared" si="9"/>
        <v>0</v>
      </c>
      <c r="U23" s="67">
        <f t="shared" si="10"/>
        <v>0</v>
      </c>
      <c r="V23" s="45"/>
      <c r="W23" s="83" cm="1">
        <f t="array" ref="W23">TRANSPOSE('ASISTENCIA E'!AI20)</f>
        <v>0</v>
      </c>
      <c r="X23" s="33"/>
    </row>
    <row r="24" spans="1:24" s="12" customFormat="1" ht="55.5" customHeight="1" thickBot="1" x14ac:dyDescent="0.35">
      <c r="A24" s="66">
        <f t="shared" si="5"/>
        <v>13</v>
      </c>
      <c r="B24" s="79" t="s">
        <v>194</v>
      </c>
      <c r="C24" s="30"/>
      <c r="D24" s="31">
        <f t="shared" si="0"/>
        <v>0</v>
      </c>
      <c r="E24" s="30"/>
      <c r="F24" s="31">
        <f t="shared" si="1"/>
        <v>0</v>
      </c>
      <c r="G24" s="30"/>
      <c r="H24" s="31">
        <f t="shared" si="2"/>
        <v>0</v>
      </c>
      <c r="I24" s="30"/>
      <c r="J24" s="31">
        <f t="shared" si="3"/>
        <v>0</v>
      </c>
      <c r="K24" s="30"/>
      <c r="L24" s="31">
        <f t="shared" si="11"/>
        <v>0</v>
      </c>
      <c r="M24" s="30"/>
      <c r="N24" s="31">
        <f t="shared" si="12"/>
        <v>0</v>
      </c>
      <c r="O24" s="42">
        <f t="shared" si="7"/>
        <v>0</v>
      </c>
      <c r="P24" s="50"/>
      <c r="Q24" s="39"/>
      <c r="R24" s="39"/>
      <c r="S24" s="36">
        <f t="shared" si="8"/>
        <v>0</v>
      </c>
      <c r="T24" s="43">
        <f t="shared" si="9"/>
        <v>0</v>
      </c>
      <c r="U24" s="67">
        <f t="shared" si="10"/>
        <v>0</v>
      </c>
      <c r="V24" s="45"/>
      <c r="W24" s="83" cm="1">
        <f t="array" ref="W24">TRANSPOSE('ASISTENCIA E'!AI21)</f>
        <v>0</v>
      </c>
      <c r="X24" s="33"/>
    </row>
    <row r="25" spans="1:24" s="12" customFormat="1" ht="55.5" customHeight="1" thickBot="1" x14ac:dyDescent="0.35">
      <c r="A25" s="66">
        <f t="shared" si="5"/>
        <v>14</v>
      </c>
      <c r="B25" s="79" t="s">
        <v>195</v>
      </c>
      <c r="C25" s="30"/>
      <c r="D25" s="31">
        <f t="shared" si="0"/>
        <v>0</v>
      </c>
      <c r="E25" s="30"/>
      <c r="F25" s="31">
        <f t="shared" si="1"/>
        <v>0</v>
      </c>
      <c r="G25" s="30"/>
      <c r="H25" s="31">
        <f t="shared" si="2"/>
        <v>0</v>
      </c>
      <c r="I25" s="30"/>
      <c r="J25" s="31">
        <f t="shared" si="3"/>
        <v>0</v>
      </c>
      <c r="K25" s="30"/>
      <c r="L25" s="31">
        <f t="shared" si="11"/>
        <v>0</v>
      </c>
      <c r="M25" s="30"/>
      <c r="N25" s="31">
        <f t="shared" si="12"/>
        <v>0</v>
      </c>
      <c r="O25" s="42">
        <f t="shared" si="7"/>
        <v>0</v>
      </c>
      <c r="P25" s="50"/>
      <c r="Q25" s="39"/>
      <c r="R25" s="39"/>
      <c r="S25" s="36">
        <f t="shared" si="8"/>
        <v>0</v>
      </c>
      <c r="T25" s="43">
        <f t="shared" si="9"/>
        <v>0</v>
      </c>
      <c r="U25" s="67">
        <f t="shared" si="10"/>
        <v>0</v>
      </c>
      <c r="V25" s="45"/>
      <c r="W25" s="83" cm="1">
        <f t="array" ref="W25">TRANSPOSE('ASISTENCIA E'!AI22)</f>
        <v>0</v>
      </c>
      <c r="X25" s="33"/>
    </row>
    <row r="26" spans="1:24" s="12" customFormat="1" ht="55.5" customHeight="1" thickBot="1" x14ac:dyDescent="0.35">
      <c r="A26" s="66">
        <f t="shared" si="5"/>
        <v>15</v>
      </c>
      <c r="B26" s="79" t="s">
        <v>196</v>
      </c>
      <c r="C26" s="30"/>
      <c r="D26" s="31">
        <f t="shared" si="0"/>
        <v>0</v>
      </c>
      <c r="E26" s="30"/>
      <c r="F26" s="31">
        <f t="shared" si="1"/>
        <v>0</v>
      </c>
      <c r="G26" s="30"/>
      <c r="H26" s="31">
        <f t="shared" si="2"/>
        <v>0</v>
      </c>
      <c r="I26" s="30"/>
      <c r="J26" s="31">
        <f t="shared" si="3"/>
        <v>0</v>
      </c>
      <c r="K26" s="30"/>
      <c r="L26" s="31">
        <f t="shared" si="11"/>
        <v>0</v>
      </c>
      <c r="M26" s="30"/>
      <c r="N26" s="31">
        <f t="shared" si="12"/>
        <v>0</v>
      </c>
      <c r="O26" s="42">
        <f t="shared" si="7"/>
        <v>0</v>
      </c>
      <c r="P26" s="50"/>
      <c r="Q26" s="39"/>
      <c r="R26" s="39"/>
      <c r="S26" s="36">
        <f t="shared" si="8"/>
        <v>0</v>
      </c>
      <c r="T26" s="43">
        <f t="shared" si="9"/>
        <v>0</v>
      </c>
      <c r="U26" s="67">
        <f t="shared" si="10"/>
        <v>0</v>
      </c>
      <c r="V26" s="45"/>
      <c r="W26" s="83" cm="1">
        <f t="array" ref="W26">TRANSPOSE('ASISTENCIA E'!AI23)</f>
        <v>0</v>
      </c>
      <c r="X26" s="33"/>
    </row>
    <row r="27" spans="1:24" s="12" customFormat="1" ht="55.5" customHeight="1" thickBot="1" x14ac:dyDescent="0.35">
      <c r="A27" s="66">
        <f t="shared" si="5"/>
        <v>16</v>
      </c>
      <c r="B27" s="79" t="s">
        <v>197</v>
      </c>
      <c r="C27" s="30"/>
      <c r="D27" s="31">
        <f t="shared" si="0"/>
        <v>0</v>
      </c>
      <c r="E27" s="30"/>
      <c r="F27" s="31">
        <f t="shared" si="1"/>
        <v>0</v>
      </c>
      <c r="G27" s="30"/>
      <c r="H27" s="31">
        <f t="shared" si="2"/>
        <v>0</v>
      </c>
      <c r="I27" s="30"/>
      <c r="J27" s="31">
        <f t="shared" si="3"/>
        <v>0</v>
      </c>
      <c r="K27" s="30"/>
      <c r="L27" s="31">
        <f t="shared" si="11"/>
        <v>0</v>
      </c>
      <c r="M27" s="30"/>
      <c r="N27" s="31">
        <f t="shared" si="12"/>
        <v>0</v>
      </c>
      <c r="O27" s="42">
        <f t="shared" si="7"/>
        <v>0</v>
      </c>
      <c r="P27" s="50"/>
      <c r="Q27" s="39"/>
      <c r="R27" s="39"/>
      <c r="S27" s="36">
        <f t="shared" si="8"/>
        <v>0</v>
      </c>
      <c r="T27" s="43">
        <f t="shared" si="9"/>
        <v>0</v>
      </c>
      <c r="U27" s="67">
        <f t="shared" si="10"/>
        <v>0</v>
      </c>
      <c r="V27" s="45"/>
      <c r="W27" s="83" cm="1">
        <f t="array" ref="W27">TRANSPOSE('ASISTENCIA E'!AI24)</f>
        <v>0</v>
      </c>
      <c r="X27" s="33"/>
    </row>
    <row r="28" spans="1:24" s="12" customFormat="1" ht="55.5" customHeight="1" thickBot="1" x14ac:dyDescent="0.35">
      <c r="A28" s="66">
        <f t="shared" si="5"/>
        <v>17</v>
      </c>
      <c r="B28" s="79" t="s">
        <v>198</v>
      </c>
      <c r="C28" s="30"/>
      <c r="D28" s="31">
        <f t="shared" si="0"/>
        <v>0</v>
      </c>
      <c r="E28" s="30"/>
      <c r="F28" s="31">
        <f t="shared" si="1"/>
        <v>0</v>
      </c>
      <c r="G28" s="30"/>
      <c r="H28" s="31">
        <f t="shared" si="2"/>
        <v>0</v>
      </c>
      <c r="I28" s="30"/>
      <c r="J28" s="31">
        <f t="shared" si="3"/>
        <v>0</v>
      </c>
      <c r="K28" s="30"/>
      <c r="L28" s="31">
        <f t="shared" si="11"/>
        <v>0</v>
      </c>
      <c r="M28" s="30"/>
      <c r="N28" s="31">
        <f t="shared" si="12"/>
        <v>0</v>
      </c>
      <c r="O28" s="42">
        <f t="shared" si="7"/>
        <v>0</v>
      </c>
      <c r="P28" s="50"/>
      <c r="Q28" s="39"/>
      <c r="R28" s="39"/>
      <c r="S28" s="36">
        <f t="shared" si="8"/>
        <v>0</v>
      </c>
      <c r="T28" s="43">
        <f t="shared" si="9"/>
        <v>0</v>
      </c>
      <c r="U28" s="67">
        <f t="shared" si="10"/>
        <v>0</v>
      </c>
      <c r="V28" s="45"/>
      <c r="W28" s="83" cm="1">
        <f t="array" ref="W28">TRANSPOSE('ASISTENCIA E'!AI25)</f>
        <v>0</v>
      </c>
      <c r="X28" s="33"/>
    </row>
    <row r="29" spans="1:24" s="12" customFormat="1" ht="55.5" customHeight="1" thickBot="1" x14ac:dyDescent="0.35">
      <c r="A29" s="66">
        <f t="shared" si="5"/>
        <v>18</v>
      </c>
      <c r="B29" s="79" t="s">
        <v>199</v>
      </c>
      <c r="C29" s="30"/>
      <c r="D29" s="31">
        <f t="shared" si="0"/>
        <v>0</v>
      </c>
      <c r="E29" s="30"/>
      <c r="F29" s="31">
        <f t="shared" si="1"/>
        <v>0</v>
      </c>
      <c r="G29" s="30"/>
      <c r="H29" s="31">
        <f t="shared" si="2"/>
        <v>0</v>
      </c>
      <c r="I29" s="30"/>
      <c r="J29" s="31">
        <f t="shared" si="3"/>
        <v>0</v>
      </c>
      <c r="K29" s="30"/>
      <c r="L29" s="31">
        <f t="shared" si="11"/>
        <v>0</v>
      </c>
      <c r="M29" s="30"/>
      <c r="N29" s="31">
        <f t="shared" si="12"/>
        <v>0</v>
      </c>
      <c r="O29" s="42">
        <f t="shared" si="7"/>
        <v>0</v>
      </c>
      <c r="P29" s="50"/>
      <c r="Q29" s="39"/>
      <c r="R29" s="39"/>
      <c r="S29" s="36">
        <f t="shared" si="8"/>
        <v>0</v>
      </c>
      <c r="T29" s="43">
        <f t="shared" si="9"/>
        <v>0</v>
      </c>
      <c r="U29" s="67">
        <f t="shared" si="10"/>
        <v>0</v>
      </c>
      <c r="V29" s="45"/>
      <c r="W29" s="83" cm="1">
        <f t="array" ref="W29">TRANSPOSE('ASISTENCIA E'!AI26)</f>
        <v>0</v>
      </c>
      <c r="X29" s="33"/>
    </row>
    <row r="30" spans="1:24" s="12" customFormat="1" ht="55.5" customHeight="1" thickBot="1" x14ac:dyDescent="0.35">
      <c r="A30" s="66">
        <f t="shared" si="5"/>
        <v>19</v>
      </c>
      <c r="B30" s="79" t="s">
        <v>200</v>
      </c>
      <c r="C30" s="30"/>
      <c r="D30" s="31">
        <f t="shared" si="0"/>
        <v>0</v>
      </c>
      <c r="E30" s="30"/>
      <c r="F30" s="31">
        <f t="shared" si="1"/>
        <v>0</v>
      </c>
      <c r="G30" s="30"/>
      <c r="H30" s="31">
        <f t="shared" si="2"/>
        <v>0</v>
      </c>
      <c r="I30" s="30"/>
      <c r="J30" s="31">
        <f t="shared" si="3"/>
        <v>0</v>
      </c>
      <c r="K30" s="30"/>
      <c r="L30" s="31">
        <f t="shared" si="11"/>
        <v>0</v>
      </c>
      <c r="M30" s="30"/>
      <c r="N30" s="31">
        <f t="shared" si="12"/>
        <v>0</v>
      </c>
      <c r="O30" s="42">
        <f t="shared" si="7"/>
        <v>0</v>
      </c>
      <c r="P30" s="50"/>
      <c r="Q30" s="39"/>
      <c r="R30" s="39"/>
      <c r="S30" s="36">
        <f t="shared" si="8"/>
        <v>0</v>
      </c>
      <c r="T30" s="43">
        <f t="shared" si="9"/>
        <v>0</v>
      </c>
      <c r="U30" s="67">
        <f t="shared" si="10"/>
        <v>0</v>
      </c>
      <c r="V30" s="45"/>
      <c r="W30" s="83" cm="1">
        <f t="array" ref="W30">TRANSPOSE('ASISTENCIA E'!AI27)</f>
        <v>0</v>
      </c>
      <c r="X30" s="33"/>
    </row>
    <row r="31" spans="1:24" s="12" customFormat="1" ht="55.5" customHeight="1" thickBot="1" x14ac:dyDescent="0.35">
      <c r="A31" s="66">
        <f t="shared" si="5"/>
        <v>20</v>
      </c>
      <c r="B31" s="79" t="s">
        <v>201</v>
      </c>
      <c r="C31" s="30"/>
      <c r="D31" s="31">
        <f t="shared" si="0"/>
        <v>0</v>
      </c>
      <c r="E31" s="30"/>
      <c r="F31" s="31">
        <f t="shared" si="1"/>
        <v>0</v>
      </c>
      <c r="G31" s="30"/>
      <c r="H31" s="31">
        <f t="shared" si="2"/>
        <v>0</v>
      </c>
      <c r="I31" s="30"/>
      <c r="J31" s="31">
        <f t="shared" si="3"/>
        <v>0</v>
      </c>
      <c r="K31" s="30"/>
      <c r="L31" s="31">
        <f t="shared" si="11"/>
        <v>0</v>
      </c>
      <c r="M31" s="30"/>
      <c r="N31" s="31">
        <f t="shared" si="12"/>
        <v>0</v>
      </c>
      <c r="O31" s="42">
        <f t="shared" si="7"/>
        <v>0</v>
      </c>
      <c r="P31" s="50"/>
      <c r="Q31" s="39"/>
      <c r="R31" s="39"/>
      <c r="S31" s="36">
        <f t="shared" si="8"/>
        <v>0</v>
      </c>
      <c r="T31" s="43">
        <f t="shared" si="9"/>
        <v>0</v>
      </c>
      <c r="U31" s="67">
        <f t="shared" si="10"/>
        <v>0</v>
      </c>
      <c r="V31" s="45"/>
      <c r="W31" s="83" cm="1">
        <f t="array" ref="W31">TRANSPOSE('ASISTENCIA E'!AI28)</f>
        <v>0</v>
      </c>
      <c r="X31" s="33"/>
    </row>
    <row r="32" spans="1:24" s="12" customFormat="1" ht="55.5" customHeight="1" thickBot="1" x14ac:dyDescent="0.35">
      <c r="A32" s="66">
        <f t="shared" si="5"/>
        <v>21</v>
      </c>
      <c r="B32" s="79" t="s">
        <v>202</v>
      </c>
      <c r="C32" s="30"/>
      <c r="D32" s="31">
        <f t="shared" si="0"/>
        <v>0</v>
      </c>
      <c r="E32" s="30"/>
      <c r="F32" s="31">
        <f t="shared" si="1"/>
        <v>0</v>
      </c>
      <c r="G32" s="30"/>
      <c r="H32" s="31">
        <f t="shared" si="2"/>
        <v>0</v>
      </c>
      <c r="I32" s="30"/>
      <c r="J32" s="31">
        <f t="shared" si="3"/>
        <v>0</v>
      </c>
      <c r="K32" s="30"/>
      <c r="L32" s="31">
        <f t="shared" si="11"/>
        <v>0</v>
      </c>
      <c r="M32" s="30"/>
      <c r="N32" s="31">
        <f t="shared" si="12"/>
        <v>0</v>
      </c>
      <c r="O32" s="42">
        <f t="shared" si="7"/>
        <v>0</v>
      </c>
      <c r="P32" s="50"/>
      <c r="Q32" s="39"/>
      <c r="R32" s="39"/>
      <c r="S32" s="36">
        <f t="shared" si="8"/>
        <v>0</v>
      </c>
      <c r="T32" s="43">
        <f t="shared" si="9"/>
        <v>0</v>
      </c>
      <c r="U32" s="67">
        <f t="shared" si="10"/>
        <v>0</v>
      </c>
      <c r="V32" s="45"/>
      <c r="W32" s="83" cm="1">
        <f t="array" ref="W32">TRANSPOSE('ASISTENCIA E'!AI29)</f>
        <v>0</v>
      </c>
      <c r="X32" s="33"/>
    </row>
    <row r="33" spans="1:24" s="12" customFormat="1" ht="55.5" customHeight="1" thickBot="1" x14ac:dyDescent="0.35">
      <c r="A33" s="66">
        <f t="shared" si="5"/>
        <v>22</v>
      </c>
      <c r="B33" s="79" t="s">
        <v>203</v>
      </c>
      <c r="C33" s="30"/>
      <c r="D33" s="31">
        <f t="shared" si="0"/>
        <v>0</v>
      </c>
      <c r="E33" s="30"/>
      <c r="F33" s="31">
        <f t="shared" si="1"/>
        <v>0</v>
      </c>
      <c r="G33" s="30"/>
      <c r="H33" s="31">
        <f t="shared" si="2"/>
        <v>0</v>
      </c>
      <c r="I33" s="30"/>
      <c r="J33" s="31">
        <f t="shared" si="3"/>
        <v>0</v>
      </c>
      <c r="K33" s="30"/>
      <c r="L33" s="31">
        <f t="shared" si="11"/>
        <v>0</v>
      </c>
      <c r="M33" s="30"/>
      <c r="N33" s="31">
        <f t="shared" si="12"/>
        <v>0</v>
      </c>
      <c r="O33" s="42">
        <f t="shared" si="7"/>
        <v>0</v>
      </c>
      <c r="P33" s="50"/>
      <c r="Q33" s="39"/>
      <c r="R33" s="39"/>
      <c r="S33" s="36">
        <f t="shared" si="8"/>
        <v>0</v>
      </c>
      <c r="T33" s="43">
        <f t="shared" si="9"/>
        <v>0</v>
      </c>
      <c r="U33" s="67">
        <f t="shared" si="10"/>
        <v>0</v>
      </c>
      <c r="V33" s="45"/>
      <c r="W33" s="83" cm="1">
        <f t="array" ref="W33">TRANSPOSE('ASISTENCIA E'!AI30)</f>
        <v>0</v>
      </c>
      <c r="X33" s="33"/>
    </row>
    <row r="34" spans="1:24" s="12" customFormat="1" ht="55.5" customHeight="1" thickBot="1" x14ac:dyDescent="0.35">
      <c r="A34" s="66">
        <f t="shared" si="5"/>
        <v>23</v>
      </c>
      <c r="B34" s="79" t="s">
        <v>204</v>
      </c>
      <c r="C34" s="30"/>
      <c r="D34" s="31">
        <f t="shared" si="0"/>
        <v>0</v>
      </c>
      <c r="E34" s="30"/>
      <c r="F34" s="31">
        <f t="shared" si="1"/>
        <v>0</v>
      </c>
      <c r="G34" s="30"/>
      <c r="H34" s="31">
        <f t="shared" si="2"/>
        <v>0</v>
      </c>
      <c r="I34" s="30"/>
      <c r="J34" s="31">
        <f t="shared" si="3"/>
        <v>0</v>
      </c>
      <c r="K34" s="30"/>
      <c r="L34" s="31">
        <f t="shared" si="11"/>
        <v>0</v>
      </c>
      <c r="M34" s="30"/>
      <c r="N34" s="31">
        <f t="shared" si="12"/>
        <v>0</v>
      </c>
      <c r="O34" s="42">
        <f t="shared" si="7"/>
        <v>0</v>
      </c>
      <c r="P34" s="50"/>
      <c r="Q34" s="39"/>
      <c r="R34" s="39"/>
      <c r="S34" s="36">
        <f t="shared" si="8"/>
        <v>0</v>
      </c>
      <c r="T34" s="43">
        <f t="shared" si="9"/>
        <v>0</v>
      </c>
      <c r="U34" s="67">
        <f t="shared" si="10"/>
        <v>0</v>
      </c>
      <c r="V34" s="45"/>
      <c r="W34" s="83" cm="1">
        <f t="array" ref="W34">TRANSPOSE('ASISTENCIA E'!AI31)</f>
        <v>0</v>
      </c>
      <c r="X34" s="33"/>
    </row>
    <row r="35" spans="1:24" s="12" customFormat="1" ht="55.5" customHeight="1" thickBot="1" x14ac:dyDescent="0.35">
      <c r="A35" s="66">
        <f t="shared" si="5"/>
        <v>24</v>
      </c>
      <c r="B35" s="79" t="s">
        <v>205</v>
      </c>
      <c r="C35" s="30"/>
      <c r="D35" s="31">
        <f t="shared" si="0"/>
        <v>0</v>
      </c>
      <c r="E35" s="30"/>
      <c r="F35" s="31">
        <f t="shared" si="1"/>
        <v>0</v>
      </c>
      <c r="G35" s="30"/>
      <c r="H35" s="31">
        <f t="shared" si="2"/>
        <v>0</v>
      </c>
      <c r="I35" s="30"/>
      <c r="J35" s="31">
        <f t="shared" si="3"/>
        <v>0</v>
      </c>
      <c r="K35" s="30"/>
      <c r="L35" s="31">
        <f t="shared" si="11"/>
        <v>0</v>
      </c>
      <c r="M35" s="30"/>
      <c r="N35" s="31">
        <f t="shared" si="12"/>
        <v>0</v>
      </c>
      <c r="O35" s="42">
        <f t="shared" si="7"/>
        <v>0</v>
      </c>
      <c r="P35" s="50"/>
      <c r="Q35" s="39"/>
      <c r="R35" s="39"/>
      <c r="S35" s="36">
        <f t="shared" si="8"/>
        <v>0</v>
      </c>
      <c r="T35" s="43">
        <f t="shared" si="9"/>
        <v>0</v>
      </c>
      <c r="U35" s="67">
        <f t="shared" si="10"/>
        <v>0</v>
      </c>
      <c r="V35" s="45"/>
      <c r="W35" s="83" cm="1">
        <f t="array" ref="W35">TRANSPOSE('ASISTENCIA E'!AI32)</f>
        <v>0</v>
      </c>
      <c r="X35" s="33"/>
    </row>
    <row r="36" spans="1:24" s="12" customFormat="1" ht="55.5" customHeight="1" thickBot="1" x14ac:dyDescent="0.35">
      <c r="A36" s="66">
        <f t="shared" si="5"/>
        <v>25</v>
      </c>
      <c r="B36" s="79" t="s">
        <v>206</v>
      </c>
      <c r="C36" s="30"/>
      <c r="D36" s="31">
        <f t="shared" si="0"/>
        <v>0</v>
      </c>
      <c r="E36" s="30"/>
      <c r="F36" s="31">
        <f t="shared" si="1"/>
        <v>0</v>
      </c>
      <c r="G36" s="30"/>
      <c r="H36" s="31">
        <f t="shared" si="2"/>
        <v>0</v>
      </c>
      <c r="I36" s="30"/>
      <c r="J36" s="31">
        <f t="shared" si="3"/>
        <v>0</v>
      </c>
      <c r="K36" s="30"/>
      <c r="L36" s="31">
        <f t="shared" si="11"/>
        <v>0</v>
      </c>
      <c r="M36" s="30"/>
      <c r="N36" s="31">
        <f t="shared" si="12"/>
        <v>0</v>
      </c>
      <c r="O36" s="42">
        <f t="shared" si="7"/>
        <v>0</v>
      </c>
      <c r="P36" s="50"/>
      <c r="Q36" s="39"/>
      <c r="R36" s="39"/>
      <c r="S36" s="36">
        <f t="shared" si="8"/>
        <v>0</v>
      </c>
      <c r="T36" s="43">
        <f t="shared" si="9"/>
        <v>0</v>
      </c>
      <c r="U36" s="67">
        <f t="shared" si="10"/>
        <v>0</v>
      </c>
      <c r="V36" s="45"/>
      <c r="W36" s="83" cm="1">
        <f t="array" ref="W36">TRANSPOSE('ASISTENCIA E'!AI33)</f>
        <v>0</v>
      </c>
      <c r="X36" s="33"/>
    </row>
    <row r="37" spans="1:24" s="12" customFormat="1" ht="55.5" customHeight="1" thickBot="1" x14ac:dyDescent="0.35">
      <c r="A37" s="66">
        <f t="shared" si="5"/>
        <v>26</v>
      </c>
      <c r="B37" s="79" t="s">
        <v>207</v>
      </c>
      <c r="C37" s="30"/>
      <c r="D37" s="31">
        <f t="shared" si="0"/>
        <v>0</v>
      </c>
      <c r="E37" s="30"/>
      <c r="F37" s="31">
        <f t="shared" si="1"/>
        <v>0</v>
      </c>
      <c r="G37" s="30"/>
      <c r="H37" s="31">
        <f t="shared" si="2"/>
        <v>0</v>
      </c>
      <c r="I37" s="30"/>
      <c r="J37" s="31">
        <f t="shared" si="3"/>
        <v>0</v>
      </c>
      <c r="K37" s="30"/>
      <c r="L37" s="31">
        <f t="shared" si="11"/>
        <v>0</v>
      </c>
      <c r="M37" s="30"/>
      <c r="N37" s="31">
        <f t="shared" si="12"/>
        <v>0</v>
      </c>
      <c r="O37" s="42">
        <f t="shared" si="7"/>
        <v>0</v>
      </c>
      <c r="P37" s="50"/>
      <c r="Q37" s="39"/>
      <c r="R37" s="39"/>
      <c r="S37" s="36">
        <f t="shared" si="8"/>
        <v>0</v>
      </c>
      <c r="T37" s="43">
        <f t="shared" si="9"/>
        <v>0</v>
      </c>
      <c r="U37" s="67">
        <f t="shared" si="10"/>
        <v>0</v>
      </c>
      <c r="V37" s="45"/>
      <c r="W37" s="83" cm="1">
        <f t="array" ref="W37">TRANSPOSE('ASISTENCIA E'!AI34)</f>
        <v>0</v>
      </c>
      <c r="X37" s="33"/>
    </row>
    <row r="38" spans="1:24" s="12" customFormat="1" ht="55.5" customHeight="1" thickBot="1" x14ac:dyDescent="0.35">
      <c r="A38" s="66">
        <f t="shared" si="5"/>
        <v>27</v>
      </c>
      <c r="B38" s="79" t="s">
        <v>208</v>
      </c>
      <c r="C38" s="30"/>
      <c r="D38" s="31">
        <f t="shared" si="0"/>
        <v>0</v>
      </c>
      <c r="E38" s="30"/>
      <c r="F38" s="31">
        <f t="shared" si="1"/>
        <v>0</v>
      </c>
      <c r="G38" s="30"/>
      <c r="H38" s="31">
        <f t="shared" si="2"/>
        <v>0</v>
      </c>
      <c r="I38" s="30"/>
      <c r="J38" s="31">
        <f t="shared" si="3"/>
        <v>0</v>
      </c>
      <c r="K38" s="30"/>
      <c r="L38" s="31">
        <f t="shared" si="11"/>
        <v>0</v>
      </c>
      <c r="M38" s="30"/>
      <c r="N38" s="31">
        <f t="shared" si="12"/>
        <v>0</v>
      </c>
      <c r="O38" s="42">
        <f t="shared" si="7"/>
        <v>0</v>
      </c>
      <c r="P38" s="50"/>
      <c r="Q38" s="39"/>
      <c r="R38" s="39"/>
      <c r="S38" s="36">
        <f t="shared" si="8"/>
        <v>0</v>
      </c>
      <c r="T38" s="43">
        <f t="shared" si="9"/>
        <v>0</v>
      </c>
      <c r="U38" s="67">
        <f t="shared" si="10"/>
        <v>0</v>
      </c>
      <c r="V38" s="45"/>
      <c r="W38" s="83" cm="1">
        <f t="array" ref="W38">TRANSPOSE('ASISTENCIA E'!AI35)</f>
        <v>0</v>
      </c>
      <c r="X38" s="33"/>
    </row>
    <row r="39" spans="1:24" s="12" customFormat="1" ht="55.5" customHeight="1" thickBot="1" x14ac:dyDescent="0.35">
      <c r="A39" s="66">
        <f t="shared" si="5"/>
        <v>28</v>
      </c>
      <c r="B39" s="79" t="s">
        <v>209</v>
      </c>
      <c r="C39" s="30"/>
      <c r="D39" s="31">
        <f t="shared" si="0"/>
        <v>0</v>
      </c>
      <c r="E39" s="30"/>
      <c r="F39" s="31">
        <f t="shared" si="1"/>
        <v>0</v>
      </c>
      <c r="G39" s="30"/>
      <c r="H39" s="31">
        <f t="shared" si="2"/>
        <v>0</v>
      </c>
      <c r="I39" s="30"/>
      <c r="J39" s="31">
        <f t="shared" si="3"/>
        <v>0</v>
      </c>
      <c r="K39" s="30"/>
      <c r="L39" s="31">
        <f t="shared" si="11"/>
        <v>0</v>
      </c>
      <c r="M39" s="30"/>
      <c r="N39" s="31">
        <f t="shared" si="12"/>
        <v>0</v>
      </c>
      <c r="O39" s="42">
        <f t="shared" si="7"/>
        <v>0</v>
      </c>
      <c r="P39" s="50"/>
      <c r="Q39" s="39"/>
      <c r="R39" s="39"/>
      <c r="S39" s="36">
        <f t="shared" si="8"/>
        <v>0</v>
      </c>
      <c r="T39" s="43">
        <f t="shared" si="9"/>
        <v>0</v>
      </c>
      <c r="U39" s="67">
        <f t="shared" si="10"/>
        <v>0</v>
      </c>
      <c r="V39" s="45"/>
      <c r="W39" s="83" cm="1">
        <f t="array" ref="W39">TRANSPOSE('ASISTENCIA E'!AI36)</f>
        <v>0</v>
      </c>
      <c r="X39" s="33"/>
    </row>
    <row r="40" spans="1:24" s="12" customFormat="1" ht="55.5" customHeight="1" thickBot="1" x14ac:dyDescent="0.35">
      <c r="A40" s="66">
        <f t="shared" si="5"/>
        <v>29</v>
      </c>
      <c r="B40" s="79" t="s">
        <v>210</v>
      </c>
      <c r="C40" s="30"/>
      <c r="D40" s="31">
        <f t="shared" si="0"/>
        <v>0</v>
      </c>
      <c r="E40" s="30"/>
      <c r="F40" s="31">
        <f t="shared" si="1"/>
        <v>0</v>
      </c>
      <c r="G40" s="30"/>
      <c r="H40" s="31">
        <f t="shared" si="2"/>
        <v>0</v>
      </c>
      <c r="I40" s="30"/>
      <c r="J40" s="31">
        <f t="shared" si="3"/>
        <v>0</v>
      </c>
      <c r="K40" s="30"/>
      <c r="L40" s="31">
        <f t="shared" si="11"/>
        <v>0</v>
      </c>
      <c r="M40" s="30"/>
      <c r="N40" s="31">
        <f t="shared" si="12"/>
        <v>0</v>
      </c>
      <c r="O40" s="42">
        <f t="shared" si="7"/>
        <v>0</v>
      </c>
      <c r="P40" s="50"/>
      <c r="Q40" s="39"/>
      <c r="R40" s="39"/>
      <c r="S40" s="36">
        <f t="shared" si="8"/>
        <v>0</v>
      </c>
      <c r="T40" s="43">
        <f t="shared" si="9"/>
        <v>0</v>
      </c>
      <c r="U40" s="67">
        <f t="shared" si="10"/>
        <v>0</v>
      </c>
      <c r="V40" s="45"/>
      <c r="W40" s="83" cm="1">
        <f t="array" ref="W40">TRANSPOSE('ASISTENCIA E'!AI37)</f>
        <v>0</v>
      </c>
      <c r="X40" s="33"/>
    </row>
    <row r="41" spans="1:24" s="12" customFormat="1" ht="55.5" customHeight="1" thickBot="1" x14ac:dyDescent="0.35">
      <c r="A41" s="66">
        <f t="shared" si="5"/>
        <v>30</v>
      </c>
      <c r="B41" s="79" t="s">
        <v>211</v>
      </c>
      <c r="C41" s="30"/>
      <c r="D41" s="31">
        <f t="shared" si="0"/>
        <v>0</v>
      </c>
      <c r="E41" s="30"/>
      <c r="F41" s="31">
        <f t="shared" si="1"/>
        <v>0</v>
      </c>
      <c r="G41" s="30"/>
      <c r="H41" s="31">
        <f t="shared" si="2"/>
        <v>0</v>
      </c>
      <c r="I41" s="30"/>
      <c r="J41" s="31">
        <f t="shared" si="3"/>
        <v>0</v>
      </c>
      <c r="K41" s="30"/>
      <c r="L41" s="31">
        <f t="shared" si="11"/>
        <v>0</v>
      </c>
      <c r="M41" s="30"/>
      <c r="N41" s="31">
        <f t="shared" si="12"/>
        <v>0</v>
      </c>
      <c r="O41" s="42">
        <f t="shared" si="7"/>
        <v>0</v>
      </c>
      <c r="P41" s="50"/>
      <c r="Q41" s="39"/>
      <c r="R41" s="39"/>
      <c r="S41" s="36">
        <f t="shared" si="8"/>
        <v>0</v>
      </c>
      <c r="T41" s="43">
        <f t="shared" si="9"/>
        <v>0</v>
      </c>
      <c r="U41" s="67">
        <f t="shared" si="10"/>
        <v>0</v>
      </c>
      <c r="V41" s="45"/>
      <c r="W41" s="83" cm="1">
        <f t="array" ref="W41">TRANSPOSE('ASISTENCIA E'!AI38)</f>
        <v>0</v>
      </c>
      <c r="X41" s="33"/>
    </row>
    <row r="42" spans="1:24" s="12" customFormat="1" ht="55.5" customHeight="1" thickBot="1" x14ac:dyDescent="0.35">
      <c r="A42" s="66">
        <f t="shared" si="5"/>
        <v>31</v>
      </c>
      <c r="B42" s="79" t="s">
        <v>212</v>
      </c>
      <c r="C42" s="30"/>
      <c r="D42" s="31">
        <f t="shared" si="0"/>
        <v>0</v>
      </c>
      <c r="E42" s="30"/>
      <c r="F42" s="31">
        <f t="shared" si="1"/>
        <v>0</v>
      </c>
      <c r="G42" s="30"/>
      <c r="H42" s="31">
        <f t="shared" si="2"/>
        <v>0</v>
      </c>
      <c r="I42" s="30"/>
      <c r="J42" s="31">
        <f t="shared" si="3"/>
        <v>0</v>
      </c>
      <c r="K42" s="30"/>
      <c r="L42" s="31">
        <f t="shared" si="11"/>
        <v>0</v>
      </c>
      <c r="M42" s="30"/>
      <c r="N42" s="31">
        <f t="shared" si="12"/>
        <v>0</v>
      </c>
      <c r="O42" s="42">
        <f t="shared" si="7"/>
        <v>0</v>
      </c>
      <c r="P42" s="50"/>
      <c r="Q42" s="39"/>
      <c r="R42" s="39"/>
      <c r="S42" s="36">
        <f t="shared" si="8"/>
        <v>0</v>
      </c>
      <c r="T42" s="43">
        <f t="shared" si="9"/>
        <v>0</v>
      </c>
      <c r="U42" s="67">
        <f t="shared" si="10"/>
        <v>0</v>
      </c>
      <c r="V42" s="45"/>
      <c r="W42" s="83" cm="1">
        <f t="array" ref="W42">TRANSPOSE('ASISTENCIA E'!AI39)</f>
        <v>0</v>
      </c>
      <c r="X42" s="33"/>
    </row>
    <row r="43" spans="1:24" s="12" customFormat="1" ht="55.5" customHeight="1" thickBot="1" x14ac:dyDescent="0.35">
      <c r="A43" s="66">
        <f t="shared" si="5"/>
        <v>32</v>
      </c>
      <c r="B43" s="79" t="s">
        <v>213</v>
      </c>
      <c r="C43" s="30"/>
      <c r="D43" s="31">
        <f t="shared" si="0"/>
        <v>0</v>
      </c>
      <c r="E43" s="30"/>
      <c r="F43" s="31">
        <f t="shared" si="1"/>
        <v>0</v>
      </c>
      <c r="G43" s="30"/>
      <c r="H43" s="31">
        <f t="shared" si="2"/>
        <v>0</v>
      </c>
      <c r="I43" s="30"/>
      <c r="J43" s="31">
        <f t="shared" si="3"/>
        <v>0</v>
      </c>
      <c r="K43" s="30"/>
      <c r="L43" s="31">
        <f t="shared" si="11"/>
        <v>0</v>
      </c>
      <c r="M43" s="30"/>
      <c r="N43" s="31">
        <f t="shared" si="12"/>
        <v>0</v>
      </c>
      <c r="O43" s="42">
        <f t="shared" si="7"/>
        <v>0</v>
      </c>
      <c r="P43" s="50"/>
      <c r="Q43" s="39"/>
      <c r="R43" s="39"/>
      <c r="S43" s="36">
        <f t="shared" si="8"/>
        <v>0</v>
      </c>
      <c r="T43" s="43">
        <f t="shared" si="9"/>
        <v>0</v>
      </c>
      <c r="U43" s="67">
        <f t="shared" si="10"/>
        <v>0</v>
      </c>
      <c r="V43" s="45"/>
      <c r="W43" s="83" cm="1">
        <f t="array" ref="W43">TRANSPOSE('ASISTENCIA E'!AI40)</f>
        <v>0</v>
      </c>
      <c r="X43" s="33"/>
    </row>
    <row r="44" spans="1:24" s="12" customFormat="1" ht="55.5" customHeight="1" thickBot="1" x14ac:dyDescent="0.35">
      <c r="A44" s="66">
        <f t="shared" si="5"/>
        <v>33</v>
      </c>
      <c r="B44" s="79" t="s">
        <v>214</v>
      </c>
      <c r="C44" s="30"/>
      <c r="D44" s="31">
        <f t="shared" si="0"/>
        <v>0</v>
      </c>
      <c r="E44" s="30"/>
      <c r="F44" s="31">
        <f t="shared" si="1"/>
        <v>0</v>
      </c>
      <c r="G44" s="30"/>
      <c r="H44" s="31">
        <f t="shared" si="2"/>
        <v>0</v>
      </c>
      <c r="I44" s="30"/>
      <c r="J44" s="31">
        <f t="shared" si="3"/>
        <v>0</v>
      </c>
      <c r="K44" s="30"/>
      <c r="L44" s="31">
        <f t="shared" si="11"/>
        <v>0</v>
      </c>
      <c r="M44" s="30"/>
      <c r="N44" s="31">
        <f t="shared" si="12"/>
        <v>0</v>
      </c>
      <c r="O44" s="42">
        <f t="shared" si="7"/>
        <v>0</v>
      </c>
      <c r="P44" s="50"/>
      <c r="Q44" s="35"/>
      <c r="R44" s="39"/>
      <c r="S44" s="36">
        <f t="shared" si="8"/>
        <v>0</v>
      </c>
      <c r="T44" s="43">
        <f t="shared" si="9"/>
        <v>0</v>
      </c>
      <c r="U44" s="67">
        <f t="shared" si="10"/>
        <v>0</v>
      </c>
      <c r="V44" s="45"/>
      <c r="W44" s="83" cm="1">
        <f t="array" ref="W44">TRANSPOSE('ASISTENCIA E'!AI41)</f>
        <v>0</v>
      </c>
      <c r="X44" s="33"/>
    </row>
    <row r="45" spans="1:24" s="12" customFormat="1" ht="55.5" customHeight="1" thickBot="1" x14ac:dyDescent="0.35">
      <c r="A45" s="66">
        <f t="shared" si="5"/>
        <v>34</v>
      </c>
      <c r="B45" s="79" t="s">
        <v>215</v>
      </c>
      <c r="C45" s="30"/>
      <c r="D45" s="31">
        <f t="shared" si="0"/>
        <v>0</v>
      </c>
      <c r="E45" s="30"/>
      <c r="F45" s="31">
        <f t="shared" si="1"/>
        <v>0</v>
      </c>
      <c r="G45" s="30"/>
      <c r="H45" s="31">
        <f t="shared" si="2"/>
        <v>0</v>
      </c>
      <c r="I45" s="30"/>
      <c r="J45" s="31">
        <f t="shared" si="3"/>
        <v>0</v>
      </c>
      <c r="K45" s="30"/>
      <c r="L45" s="31">
        <f t="shared" si="11"/>
        <v>0</v>
      </c>
      <c r="M45" s="32"/>
      <c r="N45" s="31">
        <f t="shared" si="12"/>
        <v>0</v>
      </c>
      <c r="O45" s="42">
        <f t="shared" si="7"/>
        <v>0</v>
      </c>
      <c r="P45" s="50"/>
      <c r="Q45" s="34"/>
      <c r="R45" s="39"/>
      <c r="S45" s="36">
        <f t="shared" si="8"/>
        <v>0</v>
      </c>
      <c r="T45" s="43">
        <f t="shared" si="9"/>
        <v>0</v>
      </c>
      <c r="U45" s="67">
        <f t="shared" si="10"/>
        <v>0</v>
      </c>
      <c r="V45" s="45"/>
      <c r="W45" s="83" cm="1">
        <f t="array" ref="W45">TRANSPOSE('ASISTENCIA E'!AI42)</f>
        <v>0</v>
      </c>
      <c r="X45" s="33"/>
    </row>
    <row r="46" spans="1:24" s="12" customFormat="1" ht="51.75" customHeight="1" thickBot="1" x14ac:dyDescent="0.35">
      <c r="A46" s="66" t="str">
        <f t="shared" si="5"/>
        <v/>
      </c>
      <c r="B46" s="75"/>
      <c r="C46" s="30"/>
      <c r="D46" s="31">
        <f t="shared" si="0"/>
        <v>0</v>
      </c>
      <c r="E46" s="30"/>
      <c r="F46" s="31">
        <f t="shared" si="1"/>
        <v>0</v>
      </c>
      <c r="G46" s="30"/>
      <c r="H46" s="31">
        <f t="shared" si="2"/>
        <v>0</v>
      </c>
      <c r="I46" s="30"/>
      <c r="J46" s="31">
        <f t="shared" si="3"/>
        <v>0</v>
      </c>
      <c r="K46" s="30"/>
      <c r="L46" s="31">
        <f t="shared" si="11"/>
        <v>0</v>
      </c>
      <c r="M46" s="32"/>
      <c r="N46" s="31">
        <f t="shared" si="12"/>
        <v>0</v>
      </c>
      <c r="O46" s="42">
        <f t="shared" si="7"/>
        <v>0</v>
      </c>
      <c r="P46" s="50"/>
      <c r="Q46" s="34"/>
      <c r="R46" s="35"/>
      <c r="S46" s="36">
        <f t="shared" si="8"/>
        <v>0</v>
      </c>
      <c r="T46" s="43">
        <f t="shared" si="9"/>
        <v>0</v>
      </c>
      <c r="U46" s="67">
        <f t="shared" si="10"/>
        <v>0</v>
      </c>
      <c r="V46" s="45"/>
      <c r="W46" s="83" cm="1">
        <f t="array" ref="W46">TRANSPOSE('ASISTENCIA E'!AI43)</f>
        <v>0</v>
      </c>
      <c r="X46" s="33"/>
    </row>
    <row r="47" spans="1:24" s="12" customFormat="1" ht="51.75" customHeight="1" x14ac:dyDescent="0.3">
      <c r="A47" s="66" t="str">
        <f t="shared" si="5"/>
        <v/>
      </c>
      <c r="B47" s="76"/>
      <c r="C47" s="30"/>
      <c r="D47" s="31">
        <f t="shared" si="0"/>
        <v>0</v>
      </c>
      <c r="E47" s="30"/>
      <c r="F47" s="31">
        <f t="shared" si="1"/>
        <v>0</v>
      </c>
      <c r="G47" s="30"/>
      <c r="H47" s="31">
        <f t="shared" si="2"/>
        <v>0</v>
      </c>
      <c r="I47" s="30"/>
      <c r="J47" s="31">
        <f t="shared" si="3"/>
        <v>0</v>
      </c>
      <c r="K47" s="30"/>
      <c r="L47" s="31">
        <f t="shared" si="11"/>
        <v>0</v>
      </c>
      <c r="M47" s="32"/>
      <c r="N47" s="31">
        <f t="shared" si="12"/>
        <v>0</v>
      </c>
      <c r="O47" s="42">
        <f t="shared" si="7"/>
        <v>0</v>
      </c>
      <c r="P47" s="50"/>
      <c r="Q47" s="34"/>
      <c r="R47" s="34"/>
      <c r="S47" s="36">
        <f t="shared" si="8"/>
        <v>0</v>
      </c>
      <c r="T47" s="43">
        <f t="shared" si="9"/>
        <v>0</v>
      </c>
      <c r="U47" s="67">
        <f t="shared" si="10"/>
        <v>0</v>
      </c>
      <c r="V47" s="45"/>
      <c r="W47" s="83" cm="1">
        <f t="array" ref="W47">TRANSPOSE('ASISTENCIA E'!AI44)</f>
        <v>0</v>
      </c>
      <c r="X47" s="33"/>
    </row>
    <row r="48" spans="1:24" ht="23.25" x14ac:dyDescent="0.35">
      <c r="A48" s="28"/>
      <c r="B48" s="65"/>
      <c r="E48" s="30"/>
      <c r="G48" s="30"/>
      <c r="I48" s="29"/>
      <c r="K48" s="30"/>
    </row>
    <row r="49" spans="11:11" ht="23.25" x14ac:dyDescent="0.3">
      <c r="K49" s="30"/>
    </row>
    <row r="50" spans="11:11" ht="23.25" x14ac:dyDescent="0.3">
      <c r="K50" s="30"/>
    </row>
    <row r="51" spans="11:11" ht="23.25" x14ac:dyDescent="0.3">
      <c r="K51" s="30"/>
    </row>
    <row r="52" spans="11:11" ht="23.25" x14ac:dyDescent="0.3">
      <c r="K52" s="30"/>
    </row>
    <row r="53" spans="11:11" ht="23.25" x14ac:dyDescent="0.3">
      <c r="K53" s="30"/>
    </row>
  </sheetData>
  <sheetProtection algorithmName="SHA-512" hashValue="pfag52y1sAy491MTxkVEIEB69Mo1Cl8inLM0JZitnRKmBDpid94Hoh4p12T5IcjHpPq8QyFitzHvlKoys6Ubdg==" saltValue="53dddgjj8araQc1YrKVp1g==" spinCount="100000" sheet="1" selectLockedCells="1"/>
  <mergeCells count="28">
    <mergeCell ref="A5:B5"/>
    <mergeCell ref="O6:O11"/>
    <mergeCell ref="A10:B10"/>
    <mergeCell ref="I4:I10"/>
    <mergeCell ref="J4:J10"/>
    <mergeCell ref="K4:K10"/>
    <mergeCell ref="L4:L10"/>
    <mergeCell ref="M4:M10"/>
    <mergeCell ref="N4:N10"/>
    <mergeCell ref="C4:C10"/>
    <mergeCell ref="D4:D10"/>
    <mergeCell ref="E4:E10"/>
    <mergeCell ref="F4:F10"/>
    <mergeCell ref="G4:G10"/>
    <mergeCell ref="H4:H10"/>
    <mergeCell ref="C1:S1"/>
    <mergeCell ref="T1:X1"/>
    <mergeCell ref="C2:O3"/>
    <mergeCell ref="P2:P11"/>
    <mergeCell ref="Q2:S3"/>
    <mergeCell ref="T2:T11"/>
    <mergeCell ref="U2:U11"/>
    <mergeCell ref="V2:V11"/>
    <mergeCell ref="X2:X11"/>
    <mergeCell ref="W3:W11"/>
    <mergeCell ref="Q4:Q11"/>
    <mergeCell ref="R4:R11"/>
    <mergeCell ref="S4:S11"/>
  </mergeCells>
  <conditionalFormatting sqref="A12:X12 A13:V17 W13:X47 A18:J47 L18:V47 K18:K53 E48 G48">
    <cfRule type="expression" dxfId="19" priority="2">
      <formula>$A12&lt;&gt;""</formula>
    </cfRule>
  </conditionalFormatting>
  <conditionalFormatting sqref="C12:C47 E12:E48 G12:G48 I12:I48 K12:K53">
    <cfRule type="containsText" dxfId="18" priority="13" stopIfTrue="1" operator="containsText" text="NP">
      <formula>NOT(ISERROR(SEARCH("NP",C12)))</formula>
    </cfRule>
  </conditionalFormatting>
  <conditionalFormatting sqref="C12:O12 C13:K17 L13:O47 C18:J46 C47:H47 J47 K18:K53 I47:I48 E48 G48">
    <cfRule type="cellIs" dxfId="17" priority="8" operator="lessThan">
      <formula>10</formula>
    </cfRule>
    <cfRule type="cellIs" dxfId="16" priority="9" operator="lessThan">
      <formula>9.4</formula>
    </cfRule>
    <cfRule type="containsText" dxfId="15" priority="10" operator="containsText" text="I">
      <formula>NOT(ISERROR(SEARCH("I",C12)))</formula>
    </cfRule>
    <cfRule type="containsText" dxfId="14" priority="11" operator="containsText" text="NP">
      <formula>NOT(ISERROR(SEARCH("NP",C12)))</formula>
    </cfRule>
    <cfRule type="containsText" dxfId="13" priority="12" operator="containsText" text="NE">
      <formula>NOT(ISERROR(SEARCH("NE",C12)))</formula>
    </cfRule>
  </conditionalFormatting>
  <conditionalFormatting sqref="D12:D47 F12:F47 H12:H47 J12:J47 L12:L47 N12:N47">
    <cfRule type="cellIs" dxfId="12" priority="6" operator="greaterThan">
      <formula>0</formula>
    </cfRule>
  </conditionalFormatting>
  <conditionalFormatting sqref="K12:K17 G12:G48 I12:I48 M12">
    <cfRule type="containsText" dxfId="11" priority="19" operator="containsText" text="i">
      <formula>NOT(ISERROR(SEARCH("i",G12)))</formula>
    </cfRule>
  </conditionalFormatting>
  <conditionalFormatting sqref="K12:K17 G12:G48 I12:I48 M12:M47">
    <cfRule type="cellIs" dxfId="10" priority="14" operator="lessThan">
      <formula>10</formula>
    </cfRule>
    <cfRule type="containsText" dxfId="9" priority="15" operator="containsText" text="NP">
      <formula>NOT(ISERROR(SEARCH("NP",G12)))</formula>
    </cfRule>
    <cfRule type="containsText" dxfId="8" priority="16" operator="containsText" text="NE">
      <formula>NOT(ISERROR(SEARCH("NE",G12)))</formula>
    </cfRule>
    <cfRule type="containsText" dxfId="7" priority="17" operator="containsText" text="I">
      <formula>NOT(ISERROR(SEARCH("I",G12)))</formula>
    </cfRule>
  </conditionalFormatting>
  <conditionalFormatting sqref="L18:O48 A12:O17 A18:J48 K18:K53">
    <cfRule type="expression" dxfId="6" priority="5">
      <formula>$A12=""</formula>
    </cfRule>
  </conditionalFormatting>
  <conditionalFormatting sqref="M12">
    <cfRule type="containsText" dxfId="5" priority="20" stopIfTrue="1" operator="containsText" text="NP">
      <formula>NOT(ISERROR(SEARCH("NP",M12)))</formula>
    </cfRule>
  </conditionalFormatting>
  <conditionalFormatting sqref="M40:M44">
    <cfRule type="expression" dxfId="4" priority="4">
      <formula>$A40&lt;&gt;""</formula>
    </cfRule>
  </conditionalFormatting>
  <conditionalFormatting sqref="O12:O47">
    <cfRule type="cellIs" dxfId="3" priority="18" operator="lessThan">
      <formula>10</formula>
    </cfRule>
  </conditionalFormatting>
  <conditionalFormatting sqref="O12:O48">
    <cfRule type="cellIs" dxfId="2" priority="7" operator="lessThan">
      <formula>9.4</formula>
    </cfRule>
  </conditionalFormatting>
  <conditionalFormatting sqref="Q12:R42 Q43 R43:R45">
    <cfRule type="expression" dxfId="1" priority="1">
      <formula>$A12&lt;&gt;""</formula>
    </cfRule>
  </conditionalFormatting>
  <conditionalFormatting sqref="T12:U47">
    <cfRule type="cellIs" dxfId="0" priority="3" operator="lessThan">
      <formula>9.5</formula>
    </cfRule>
  </conditionalFormatting>
  <printOptions verticalCentered="1"/>
  <pageMargins left="0" right="0" top="0" bottom="0" header="7.874015748031496E-2" footer="0"/>
  <pageSetup scale="4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7113-96BD-4586-8E9B-958A68DE15AC}">
  <dimension ref="A1:AJ43"/>
  <sheetViews>
    <sheetView view="pageBreakPreview" zoomScale="32" zoomScaleNormal="40" zoomScaleSheetLayoutView="32" workbookViewId="0">
      <pane xSplit="3" ySplit="8" topLeftCell="D9" activePane="bottomRight" state="frozen"/>
      <selection activeCell="D3" sqref="D3:AH3"/>
      <selection pane="topRight" activeCell="D3" sqref="D3:AH3"/>
      <selection pane="bottomLeft" activeCell="D3" sqref="D3:AH3"/>
      <selection pane="bottomRight" activeCell="I14" sqref="I14"/>
    </sheetView>
  </sheetViews>
  <sheetFormatPr baseColWidth="10" defaultColWidth="9.140625" defaultRowHeight="23.25" x14ac:dyDescent="0.35"/>
  <cols>
    <col min="1" max="1" width="16.85546875" style="8" customWidth="1"/>
    <col min="2" max="2" width="102" style="7" customWidth="1"/>
    <col min="3" max="3" width="13.42578125" style="7" customWidth="1"/>
    <col min="4" max="34" width="13.85546875" style="7" customWidth="1"/>
    <col min="35" max="35" width="13.28515625" style="9" customWidth="1"/>
    <col min="36" max="16384" width="9.140625" style="10"/>
  </cols>
  <sheetData>
    <row r="1" spans="1:36" ht="0.95" customHeight="1" thickBot="1" x14ac:dyDescent="0.4"/>
    <row r="2" spans="1:36" ht="42.75" customHeight="1" thickBot="1" x14ac:dyDescent="0.45">
      <c r="A2" s="16"/>
      <c r="B2" s="16"/>
      <c r="C2" s="17"/>
      <c r="D2" s="121" t="s">
        <v>37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34"/>
      <c r="P2" s="134"/>
      <c r="Q2" s="134"/>
      <c r="R2" s="134"/>
      <c r="S2" s="134"/>
      <c r="T2" s="135" t="s">
        <v>40</v>
      </c>
      <c r="U2" s="136"/>
      <c r="V2" s="136"/>
      <c r="W2" s="136"/>
      <c r="X2" s="137">
        <f>SUM(AB2,AF2)</f>
        <v>34</v>
      </c>
      <c r="Y2" s="138"/>
      <c r="Z2" s="60" t="s">
        <v>17</v>
      </c>
      <c r="AA2" s="18" t="s">
        <v>18</v>
      </c>
      <c r="AB2" s="139">
        <f>COUNTIF(C9:C42,Z2)</f>
        <v>19</v>
      </c>
      <c r="AC2" s="139"/>
      <c r="AD2" s="61" t="s">
        <v>19</v>
      </c>
      <c r="AE2" s="18" t="s">
        <v>18</v>
      </c>
      <c r="AF2" s="139">
        <f>COUNTIF(C9:C42,AD2)</f>
        <v>15</v>
      </c>
      <c r="AG2" s="139"/>
      <c r="AH2" s="140"/>
      <c r="AI2" s="127" t="s">
        <v>25</v>
      </c>
    </row>
    <row r="3" spans="1:36" ht="53.25" customHeight="1" x14ac:dyDescent="0.4">
      <c r="A3" s="54"/>
      <c r="B3" s="57" t="str">
        <f>'AVANCE E'!B7</f>
        <v>2DO  AÑO SECCIÓN "E"</v>
      </c>
      <c r="C3" s="54"/>
      <c r="D3" s="130" t="s">
        <v>39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3"/>
      <c r="AI3" s="128"/>
    </row>
    <row r="4" spans="1:36" ht="57" customHeight="1" x14ac:dyDescent="0.35">
      <c r="A4" s="55" t="s">
        <v>36</v>
      </c>
      <c r="B4" s="62" t="str">
        <f>'AVANCE E'!B9</f>
        <v>XX</v>
      </c>
      <c r="C4" s="125" t="s">
        <v>28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8"/>
    </row>
    <row r="5" spans="1:36" ht="57" customHeight="1" x14ac:dyDescent="0.35">
      <c r="A5" s="56" t="s">
        <v>33</v>
      </c>
      <c r="B5" s="62">
        <f>'AVANCE E'!B6</f>
        <v>0</v>
      </c>
      <c r="C5" s="125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8"/>
    </row>
    <row r="6" spans="1:36" ht="57" customHeight="1" x14ac:dyDescent="0.35">
      <c r="A6" s="124" t="s">
        <v>20</v>
      </c>
      <c r="B6" s="124"/>
      <c r="C6" s="125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9"/>
    </row>
    <row r="7" spans="1:36" ht="57" customHeight="1" x14ac:dyDescent="0.35">
      <c r="A7" s="19" t="s">
        <v>21</v>
      </c>
      <c r="B7" s="20" t="s">
        <v>15</v>
      </c>
      <c r="C7" s="126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21" t="s">
        <v>23</v>
      </c>
    </row>
    <row r="8" spans="1:36" ht="44.25" customHeight="1" x14ac:dyDescent="0.35">
      <c r="A8" s="23"/>
      <c r="B8" s="24"/>
      <c r="C8" s="59" t="s">
        <v>22</v>
      </c>
      <c r="D8" s="48">
        <v>1</v>
      </c>
      <c r="E8" s="48" t="s">
        <v>31</v>
      </c>
      <c r="F8" s="48" t="s">
        <v>32</v>
      </c>
      <c r="G8" s="48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49"/>
    </row>
    <row r="9" spans="1:36" ht="66.75" customHeight="1" x14ac:dyDescent="0.35">
      <c r="A9" s="22">
        <v>1</v>
      </c>
      <c r="B9" s="74" t="str">
        <f>TRANSPOSE('AVANCE E'!B12)</f>
        <v>PALOMO COLMENARES SANTIAGO RAFAEL</v>
      </c>
      <c r="C9" s="81" t="s">
        <v>17</v>
      </c>
      <c r="D9" s="58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7">
        <f>SUM(D9:AH9)</f>
        <v>0</v>
      </c>
      <c r="AJ9" s="11"/>
    </row>
    <row r="10" spans="1:36" ht="66.75" customHeight="1" x14ac:dyDescent="0.35">
      <c r="A10" s="22">
        <v>2</v>
      </c>
      <c r="B10" s="74" t="str" cm="1">
        <f t="array" ref="B10">TRANSPOSE('AVANCE E'!B13)</f>
        <v>LÓPEZ LEAL SABRINA ESMERALDA</v>
      </c>
      <c r="C10" s="81" t="s">
        <v>19</v>
      </c>
      <c r="D10" s="58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>
        <f t="shared" ref="AI10:AI42" si="0">SUM(D10:AH10)</f>
        <v>0</v>
      </c>
      <c r="AJ10" s="11"/>
    </row>
    <row r="11" spans="1:36" ht="66.75" customHeight="1" x14ac:dyDescent="0.35">
      <c r="A11" s="22">
        <v>3</v>
      </c>
      <c r="B11" s="74" t="str" cm="1">
        <f t="array" ref="B11">TRANSPOSE('AVANCE E'!B14)</f>
        <v>MONRROY MEJÍAS JORGE YASSER</v>
      </c>
      <c r="C11" s="81" t="s">
        <v>17</v>
      </c>
      <c r="D11" s="58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7">
        <f t="shared" si="0"/>
        <v>0</v>
      </c>
      <c r="AJ11" s="11"/>
    </row>
    <row r="12" spans="1:36" ht="66.75" customHeight="1" x14ac:dyDescent="0.35">
      <c r="A12" s="22">
        <v>4</v>
      </c>
      <c r="B12" s="74" t="str" cm="1">
        <f t="array" ref="B12">TRANSPOSE('AVANCE E'!B15)</f>
        <v>MAITAN BRIÓN LUIS ALFREDO</v>
      </c>
      <c r="C12" s="81" t="s">
        <v>17</v>
      </c>
      <c r="D12" s="58"/>
      <c r="E12" s="25"/>
      <c r="F12" s="25"/>
      <c r="G12" s="25"/>
      <c r="H12" s="25"/>
      <c r="I12" s="25"/>
      <c r="J12" s="25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>
        <f t="shared" si="0"/>
        <v>0</v>
      </c>
      <c r="AJ12" s="11"/>
    </row>
    <row r="13" spans="1:36" ht="66.75" customHeight="1" x14ac:dyDescent="0.35">
      <c r="A13" s="22">
        <v>5</v>
      </c>
      <c r="B13" s="74" t="str" cm="1">
        <f t="array" ref="B13">TRANSPOSE('AVANCE E'!B16)</f>
        <v>RAMOS RAMOS XIMENA LUCÍA</v>
      </c>
      <c r="C13" s="81" t="s">
        <v>19</v>
      </c>
      <c r="D13" s="58"/>
      <c r="E13" s="25"/>
      <c r="F13" s="25"/>
      <c r="G13" s="25"/>
      <c r="H13" s="25"/>
      <c r="I13" s="25"/>
      <c r="J13" s="25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>
        <f t="shared" si="0"/>
        <v>0</v>
      </c>
      <c r="AJ13" s="11"/>
    </row>
    <row r="14" spans="1:36" ht="66.75" customHeight="1" x14ac:dyDescent="0.35">
      <c r="A14" s="22">
        <v>6</v>
      </c>
      <c r="B14" s="74" t="str" cm="1">
        <f t="array" ref="B14">TRANSPOSE('AVANCE E'!B17)</f>
        <v>RIVAS FIGUEROA CAMILA NICOLE</v>
      </c>
      <c r="C14" s="81" t="s">
        <v>19</v>
      </c>
      <c r="D14" s="58"/>
      <c r="E14" s="25"/>
      <c r="F14" s="25"/>
      <c r="G14" s="25"/>
      <c r="H14" s="25"/>
      <c r="I14" s="25"/>
      <c r="J14" s="25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>
        <f t="shared" si="0"/>
        <v>0</v>
      </c>
      <c r="AJ14" s="11"/>
    </row>
    <row r="15" spans="1:36" ht="66.75" customHeight="1" x14ac:dyDescent="0.35">
      <c r="A15" s="22">
        <v>7</v>
      </c>
      <c r="B15" s="74" t="str" cm="1">
        <f t="array" ref="B15">TRANSPOSE('AVANCE E'!B18)</f>
        <v>TIAPA FLORES MOISÉS ALFREDO</v>
      </c>
      <c r="C15" s="81" t="s">
        <v>17</v>
      </c>
      <c r="D15" s="58"/>
      <c r="E15" s="25"/>
      <c r="F15" s="25"/>
      <c r="G15" s="25"/>
      <c r="H15" s="25"/>
      <c r="I15" s="25"/>
      <c r="J15" s="25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7">
        <f t="shared" si="0"/>
        <v>0</v>
      </c>
      <c r="AJ15" s="11"/>
    </row>
    <row r="16" spans="1:36" ht="66.75" customHeight="1" x14ac:dyDescent="0.35">
      <c r="A16" s="22">
        <v>8</v>
      </c>
      <c r="B16" s="74" t="str" cm="1">
        <f t="array" ref="B16">TRANSPOSE('AVANCE E'!B19)</f>
        <v>BETANCOURT CENTENO DIEGO ALEJANDRO</v>
      </c>
      <c r="C16" s="81" t="s">
        <v>17</v>
      </c>
      <c r="D16" s="58"/>
      <c r="E16" s="25"/>
      <c r="F16" s="25"/>
      <c r="G16" s="25"/>
      <c r="H16" s="25"/>
      <c r="I16" s="25"/>
      <c r="J16" s="25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7">
        <f t="shared" si="0"/>
        <v>0</v>
      </c>
      <c r="AJ16" s="11"/>
    </row>
    <row r="17" spans="1:36" ht="66.75" customHeight="1" x14ac:dyDescent="0.35">
      <c r="A17" s="22">
        <v>9</v>
      </c>
      <c r="B17" s="74" t="str" cm="1">
        <f t="array" ref="B17">TRANSPOSE('AVANCE E'!B20)</f>
        <v>MÁRQUEZ VIÑA ANTHONY ALESSANDRO</v>
      </c>
      <c r="C17" s="81" t="s">
        <v>17</v>
      </c>
      <c r="D17" s="58"/>
      <c r="E17" s="25"/>
      <c r="F17" s="25"/>
      <c r="G17" s="25"/>
      <c r="H17" s="25"/>
      <c r="I17" s="25"/>
      <c r="J17" s="25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>
        <f t="shared" si="0"/>
        <v>0</v>
      </c>
      <c r="AJ17" s="11"/>
    </row>
    <row r="18" spans="1:36" ht="66.75" customHeight="1" x14ac:dyDescent="0.35">
      <c r="A18" s="22">
        <v>10</v>
      </c>
      <c r="B18" s="74" t="str" cm="1">
        <f t="array" ref="B18">TRANSPOSE('AVANCE E'!B21)</f>
        <v>YÁNEZ FONSECA ARANZA SURIEL</v>
      </c>
      <c r="C18" s="81" t="s">
        <v>19</v>
      </c>
      <c r="D18" s="58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>
        <f t="shared" si="0"/>
        <v>0</v>
      </c>
      <c r="AJ18" s="11"/>
    </row>
    <row r="19" spans="1:36" ht="66.75" customHeight="1" x14ac:dyDescent="0.35">
      <c r="A19" s="22">
        <v>11</v>
      </c>
      <c r="B19" s="74" t="str" cm="1">
        <f t="array" ref="B19">TRANSPOSE('AVANCE E'!B22)</f>
        <v>LARES VIVAS VALERY SOFÍA</v>
      </c>
      <c r="C19" s="81" t="s">
        <v>19</v>
      </c>
      <c r="D19" s="58"/>
      <c r="E19" s="25"/>
      <c r="F19" s="25"/>
      <c r="G19" s="25"/>
      <c r="H19" s="25"/>
      <c r="I19" s="25"/>
      <c r="J19" s="25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7">
        <f t="shared" si="0"/>
        <v>0</v>
      </c>
      <c r="AJ19" s="11"/>
    </row>
    <row r="20" spans="1:36" ht="66.75" customHeight="1" x14ac:dyDescent="0.35">
      <c r="A20" s="22">
        <v>12</v>
      </c>
      <c r="B20" s="74" t="str" cm="1">
        <f t="array" ref="B20">TRANSPOSE('AVANCE E'!B23)</f>
        <v>JIMÉNEZ ROMERO SEBASTIÁN DAVID</v>
      </c>
      <c r="C20" s="81" t="s">
        <v>17</v>
      </c>
      <c r="D20" s="58"/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7">
        <f t="shared" si="0"/>
        <v>0</v>
      </c>
      <c r="AJ20" s="11"/>
    </row>
    <row r="21" spans="1:36" ht="66.75" customHeight="1" x14ac:dyDescent="0.35">
      <c r="A21" s="22">
        <v>13</v>
      </c>
      <c r="B21" s="74" t="str" cm="1">
        <f t="array" ref="B21">TRANSPOSE('AVANCE E'!B24)</f>
        <v>SOUQUET MANZANO JUAN PABLO</v>
      </c>
      <c r="C21" s="81" t="s">
        <v>17</v>
      </c>
      <c r="D21" s="58"/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7">
        <f t="shared" si="0"/>
        <v>0</v>
      </c>
      <c r="AJ21" s="11"/>
    </row>
    <row r="22" spans="1:36" ht="66.75" customHeight="1" x14ac:dyDescent="0.35">
      <c r="A22" s="22">
        <v>14</v>
      </c>
      <c r="B22" s="74" t="str" cm="1">
        <f t="array" ref="B22">TRANSPOSE('AVANCE E'!B25)</f>
        <v>NÚÑEZ VALLENILLA NATHALIA ALEJANDRA</v>
      </c>
      <c r="C22" s="81" t="s">
        <v>19</v>
      </c>
      <c r="D22" s="58"/>
      <c r="E22" s="25"/>
      <c r="F22" s="25"/>
      <c r="G22" s="25"/>
      <c r="H22" s="25"/>
      <c r="I22" s="25"/>
      <c r="J22" s="25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7">
        <f t="shared" si="0"/>
        <v>0</v>
      </c>
      <c r="AJ22" s="11"/>
    </row>
    <row r="23" spans="1:36" ht="66.75" customHeight="1" x14ac:dyDescent="0.35">
      <c r="A23" s="22">
        <v>15</v>
      </c>
      <c r="B23" s="74" t="str" cm="1">
        <f t="array" ref="B23">TRANSPOSE('AVANCE E'!B26)</f>
        <v>SALAZAR JIMÉNEZ NAOMI CAROLINA DEL VALLE</v>
      </c>
      <c r="C23" s="81" t="s">
        <v>19</v>
      </c>
      <c r="D23" s="58"/>
      <c r="E23" s="25"/>
      <c r="F23" s="25"/>
      <c r="G23" s="25"/>
      <c r="H23" s="25"/>
      <c r="I23" s="25"/>
      <c r="J23" s="25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7">
        <f t="shared" si="0"/>
        <v>0</v>
      </c>
      <c r="AJ23" s="11"/>
    </row>
    <row r="24" spans="1:36" ht="66.75" customHeight="1" x14ac:dyDescent="0.35">
      <c r="A24" s="22">
        <v>16</v>
      </c>
      <c r="B24" s="74" t="str" cm="1">
        <f t="array" ref="B24">TRANSPOSE('AVANCE E'!B27)</f>
        <v>MALAVER SALGADO AUGUSTO JOSÉ</v>
      </c>
      <c r="C24" s="81" t="s">
        <v>17</v>
      </c>
      <c r="D24" s="58"/>
      <c r="E24" s="25"/>
      <c r="F24" s="25"/>
      <c r="G24" s="25"/>
      <c r="H24" s="25"/>
      <c r="I24" s="25"/>
      <c r="J24" s="2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 t="s">
        <v>28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7">
        <f t="shared" si="0"/>
        <v>0</v>
      </c>
      <c r="AJ24" s="11"/>
    </row>
    <row r="25" spans="1:36" ht="66.75" customHeight="1" x14ac:dyDescent="0.35">
      <c r="A25" s="22">
        <v>17</v>
      </c>
      <c r="B25" s="74" t="str" cm="1">
        <f t="array" ref="B25">TRANSPOSE('AVANCE E'!B28)</f>
        <v>GONZÁLEZ MOYA JOAQUÍN ANDRÉS</v>
      </c>
      <c r="C25" s="81" t="s">
        <v>17</v>
      </c>
      <c r="D25" s="58"/>
      <c r="E25" s="25"/>
      <c r="F25" s="25"/>
      <c r="G25" s="25"/>
      <c r="H25" s="25"/>
      <c r="I25" s="25"/>
      <c r="J25" s="25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>
        <f t="shared" si="0"/>
        <v>0</v>
      </c>
      <c r="AJ25" s="11"/>
    </row>
    <row r="26" spans="1:36" ht="66.75" customHeight="1" x14ac:dyDescent="0.35">
      <c r="A26" s="22">
        <v>18</v>
      </c>
      <c r="B26" s="74" t="str" cm="1">
        <f t="array" ref="B26">TRANSPOSE('AVANCE E'!B29)</f>
        <v>BRITO VENEGAS JOSÉ SAÚL DAVID</v>
      </c>
      <c r="C26" s="81" t="s">
        <v>17</v>
      </c>
      <c r="D26" s="58"/>
      <c r="E26" s="25"/>
      <c r="F26" s="25"/>
      <c r="G26" s="25"/>
      <c r="H26" s="25"/>
      <c r="I26" s="25"/>
      <c r="J26" s="25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>
        <f t="shared" si="0"/>
        <v>0</v>
      </c>
      <c r="AJ26" s="11"/>
    </row>
    <row r="27" spans="1:36" ht="66.75" customHeight="1" x14ac:dyDescent="0.35">
      <c r="A27" s="22">
        <v>19</v>
      </c>
      <c r="B27" s="74" t="str" cm="1">
        <f t="array" ref="B27">TRANSPOSE('AVANCE E'!B30)</f>
        <v>GARCÍA LUSINCHE GÉNESIS VICTORIA</v>
      </c>
      <c r="C27" s="81" t="s">
        <v>19</v>
      </c>
      <c r="D27" s="58"/>
      <c r="E27" s="25"/>
      <c r="F27" s="25"/>
      <c r="G27" s="25"/>
      <c r="H27" s="25"/>
      <c r="I27" s="25"/>
      <c r="J27" s="25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>
        <f t="shared" si="0"/>
        <v>0</v>
      </c>
      <c r="AJ27" s="11"/>
    </row>
    <row r="28" spans="1:36" ht="66.75" customHeight="1" x14ac:dyDescent="0.35">
      <c r="A28" s="22">
        <v>20</v>
      </c>
      <c r="B28" s="74" t="str" cm="1">
        <f t="array" ref="B28">TRANSPOSE('AVANCE E'!B31)</f>
        <v>BERMÚDEZ MARTÍNEZ LUIS ALEX ARMANDO</v>
      </c>
      <c r="C28" s="81" t="s">
        <v>17</v>
      </c>
      <c r="D28" s="58"/>
      <c r="E28" s="25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>
        <f t="shared" si="0"/>
        <v>0</v>
      </c>
      <c r="AJ28" s="11"/>
    </row>
    <row r="29" spans="1:36" ht="66.75" customHeight="1" x14ac:dyDescent="0.35">
      <c r="A29" s="22">
        <v>21</v>
      </c>
      <c r="B29" s="74" t="str" cm="1">
        <f t="array" ref="B29">TRANSPOSE('AVANCE E'!B32)</f>
        <v>TORREALBA COCHRANE DEIVIS DANIEL</v>
      </c>
      <c r="C29" s="81" t="s">
        <v>17</v>
      </c>
      <c r="D29" s="58"/>
      <c r="E29" s="25"/>
      <c r="F29" s="25"/>
      <c r="G29" s="25"/>
      <c r="H29" s="25"/>
      <c r="I29" s="25"/>
      <c r="J29" s="25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>
        <f t="shared" si="0"/>
        <v>0</v>
      </c>
      <c r="AJ29" s="11"/>
    </row>
    <row r="30" spans="1:36" ht="66.75" customHeight="1" x14ac:dyDescent="0.35">
      <c r="A30" s="22">
        <v>22</v>
      </c>
      <c r="B30" s="74" t="str" cm="1">
        <f t="array" ref="B30">TRANSPOSE('AVANCE E'!B33)</f>
        <v>MORENO GUZMÁN MIGUEL ÁNGEL DAVID</v>
      </c>
      <c r="C30" s="81" t="s">
        <v>17</v>
      </c>
      <c r="D30" s="58"/>
      <c r="E30" s="25"/>
      <c r="F30" s="25"/>
      <c r="G30" s="25"/>
      <c r="H30" s="25"/>
      <c r="I30" s="25"/>
      <c r="J30" s="25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>
        <f t="shared" si="0"/>
        <v>0</v>
      </c>
      <c r="AJ30" s="11"/>
    </row>
    <row r="31" spans="1:36" ht="66.75" customHeight="1" x14ac:dyDescent="0.35">
      <c r="A31" s="22">
        <v>23</v>
      </c>
      <c r="B31" s="74" t="str" cm="1">
        <f t="array" ref="B31">TRANSPOSE('AVANCE E'!B34)</f>
        <v>BEZADA MARTÍNEZ KENDRA DE JESÚS</v>
      </c>
      <c r="C31" s="81" t="s">
        <v>19</v>
      </c>
      <c r="D31" s="58"/>
      <c r="E31" s="25"/>
      <c r="F31" s="25"/>
      <c r="G31" s="25"/>
      <c r="H31" s="25"/>
      <c r="I31" s="25"/>
      <c r="J31" s="25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>
        <f t="shared" si="0"/>
        <v>0</v>
      </c>
      <c r="AJ31" s="11"/>
    </row>
    <row r="32" spans="1:36" ht="66.75" customHeight="1" x14ac:dyDescent="0.35">
      <c r="A32" s="22">
        <v>24</v>
      </c>
      <c r="B32" s="74" t="str" cm="1">
        <f t="array" ref="B32">TRANSPOSE('AVANCE E'!B35)</f>
        <v>SEGNINI LÓPEZ FABRICIO ALESSANDRO</v>
      </c>
      <c r="C32" s="81" t="s">
        <v>17</v>
      </c>
      <c r="D32" s="58"/>
      <c r="E32" s="25"/>
      <c r="F32" s="25"/>
      <c r="G32" s="25"/>
      <c r="H32" s="25"/>
      <c r="I32" s="25"/>
      <c r="J32" s="25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>
        <f t="shared" si="0"/>
        <v>0</v>
      </c>
      <c r="AJ32" s="11"/>
    </row>
    <row r="33" spans="1:36" ht="66.75" customHeight="1" x14ac:dyDescent="0.35">
      <c r="A33" s="22">
        <v>25</v>
      </c>
      <c r="B33" s="74" t="str" cm="1">
        <f t="array" ref="B33">TRANSPOSE('AVANCE E'!B36)</f>
        <v>GUZMÁN PÉREZ JOSÉ GUILLERMO</v>
      </c>
      <c r="C33" s="81" t="s">
        <v>17</v>
      </c>
      <c r="D33" s="58"/>
      <c r="E33" s="25"/>
      <c r="F33" s="25"/>
      <c r="G33" s="25"/>
      <c r="H33" s="25"/>
      <c r="I33" s="25"/>
      <c r="J33" s="25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>
        <f t="shared" si="0"/>
        <v>0</v>
      </c>
      <c r="AJ33" s="11"/>
    </row>
    <row r="34" spans="1:36" ht="66.75" customHeight="1" x14ac:dyDescent="0.35">
      <c r="A34" s="22">
        <v>26</v>
      </c>
      <c r="B34" s="74" t="str" cm="1">
        <f t="array" ref="B34">TRANSPOSE('AVANCE E'!B37)</f>
        <v>ROSAL CHIRAPA JHOELIS ALEJANDRA</v>
      </c>
      <c r="C34" s="81" t="s">
        <v>19</v>
      </c>
      <c r="D34" s="58"/>
      <c r="E34" s="25"/>
      <c r="F34" s="25"/>
      <c r="G34" s="25"/>
      <c r="H34" s="25"/>
      <c r="I34" s="25"/>
      <c r="J34" s="25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>
        <f t="shared" si="0"/>
        <v>0</v>
      </c>
      <c r="AJ34" s="11"/>
    </row>
    <row r="35" spans="1:36" ht="66.75" customHeight="1" x14ac:dyDescent="0.35">
      <c r="A35" s="22">
        <v>27</v>
      </c>
      <c r="B35" s="74" t="str" cm="1">
        <f t="array" ref="B35">TRANSPOSE('AVANCE E'!B38)</f>
        <v>GONZÁLEZ BERMÚDEZ ANDREA SOFHIA</v>
      </c>
      <c r="C35" s="81" t="s">
        <v>19</v>
      </c>
      <c r="D35" s="58"/>
      <c r="E35" s="25"/>
      <c r="F35" s="25"/>
      <c r="G35" s="25"/>
      <c r="H35" s="25"/>
      <c r="I35" s="25"/>
      <c r="J35" s="25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>
        <f t="shared" si="0"/>
        <v>0</v>
      </c>
      <c r="AJ35" s="11"/>
    </row>
    <row r="36" spans="1:36" ht="66.75" customHeight="1" x14ac:dyDescent="0.35">
      <c r="A36" s="22">
        <v>28</v>
      </c>
      <c r="B36" s="74" t="str" cm="1">
        <f t="array" ref="B36">TRANSPOSE('AVANCE E'!B39)</f>
        <v>ALMEIDA VELÁSQUEZ ARIADNI STEPHANIA</v>
      </c>
      <c r="C36" s="81" t="s">
        <v>19</v>
      </c>
      <c r="D36" s="58"/>
      <c r="E36" s="25"/>
      <c r="F36" s="25"/>
      <c r="G36" s="25"/>
      <c r="H36" s="25"/>
      <c r="I36" s="25"/>
      <c r="J36" s="25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>
        <f t="shared" si="0"/>
        <v>0</v>
      </c>
      <c r="AJ36" s="11"/>
    </row>
    <row r="37" spans="1:36" ht="66.75" customHeight="1" x14ac:dyDescent="0.35">
      <c r="A37" s="22">
        <v>29</v>
      </c>
      <c r="B37" s="74" t="str" cm="1">
        <f t="array" ref="B37">TRANSPOSE('AVANCE E'!B40)</f>
        <v>ARREDONDO ROSALES VICTOR GABRIEL</v>
      </c>
      <c r="C37" s="81" t="s">
        <v>17</v>
      </c>
      <c r="D37" s="58"/>
      <c r="E37" s="25"/>
      <c r="F37" s="25"/>
      <c r="G37" s="25"/>
      <c r="H37" s="25"/>
      <c r="I37" s="25"/>
      <c r="J37" s="25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>
        <f t="shared" si="0"/>
        <v>0</v>
      </c>
      <c r="AJ37" s="11"/>
    </row>
    <row r="38" spans="1:36" ht="66.75" customHeight="1" x14ac:dyDescent="0.35">
      <c r="A38" s="22">
        <v>30</v>
      </c>
      <c r="B38" s="74" t="str" cm="1">
        <f t="array" ref="B38">TRANSPOSE('AVANCE E'!B41)</f>
        <v>GUEVARA VELÁSQUEZ ISABELLA ALEJANDRA</v>
      </c>
      <c r="C38" s="81" t="s">
        <v>19</v>
      </c>
      <c r="D38" s="58"/>
      <c r="E38" s="25"/>
      <c r="F38" s="25"/>
      <c r="G38" s="25"/>
      <c r="H38" s="25"/>
      <c r="I38" s="25"/>
      <c r="J38" s="25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>
        <f t="shared" si="0"/>
        <v>0</v>
      </c>
      <c r="AJ38" s="11"/>
    </row>
    <row r="39" spans="1:36" ht="66.75" customHeight="1" x14ac:dyDescent="0.35">
      <c r="A39" s="22">
        <v>31</v>
      </c>
      <c r="B39" s="74" t="str" cm="1">
        <f t="array" ref="B39">TRANSPOSE('AVANCE E'!B42)</f>
        <v>SEQUEA BASTARDO BRITTANY CAMILA</v>
      </c>
      <c r="C39" s="81" t="s">
        <v>19</v>
      </c>
      <c r="D39" s="58"/>
      <c r="E39" s="25"/>
      <c r="F39" s="25"/>
      <c r="G39" s="25"/>
      <c r="H39" s="25"/>
      <c r="I39" s="25"/>
      <c r="J39" s="25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>
        <f t="shared" si="0"/>
        <v>0</v>
      </c>
      <c r="AJ39" s="11"/>
    </row>
    <row r="40" spans="1:36" ht="66.75" customHeight="1" x14ac:dyDescent="0.35">
      <c r="A40" s="22">
        <v>32</v>
      </c>
      <c r="B40" s="74" t="str" cm="1">
        <f t="array" ref="B40">TRANSPOSE('AVANCE E'!B43)</f>
        <v>SUÁREZ PINO ADRIÁN GABRIEL</v>
      </c>
      <c r="C40" s="81" t="s">
        <v>17</v>
      </c>
      <c r="D40" s="58"/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>
        <f t="shared" si="0"/>
        <v>0</v>
      </c>
      <c r="AJ40" s="11"/>
    </row>
    <row r="41" spans="1:36" ht="66.75" customHeight="1" x14ac:dyDescent="0.35">
      <c r="A41" s="22">
        <v>33</v>
      </c>
      <c r="B41" s="74" t="str" cm="1">
        <f t="array" ref="B41">TRANSPOSE('AVANCE E'!B44)</f>
        <v>FARÍAS SOLANO CARLOS ALEJANDRO</v>
      </c>
      <c r="C41" s="81" t="s">
        <v>17</v>
      </c>
      <c r="D41" s="58"/>
      <c r="E41" s="25"/>
      <c r="F41" s="25"/>
      <c r="G41" s="25"/>
      <c r="H41" s="25"/>
      <c r="I41" s="25"/>
      <c r="J41" s="25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>
        <f t="shared" si="0"/>
        <v>0</v>
      </c>
      <c r="AJ41" s="11"/>
    </row>
    <row r="42" spans="1:36" ht="66.75" customHeight="1" x14ac:dyDescent="0.35">
      <c r="A42" s="22">
        <v>34</v>
      </c>
      <c r="B42" s="74" t="str" cm="1">
        <f t="array" ref="B42">TRANSPOSE('AVANCE E'!B45)</f>
        <v>DÍAZ ALMEIDA CARLOTA ISABELLA</v>
      </c>
      <c r="C42" s="81" t="s">
        <v>19</v>
      </c>
      <c r="D42" s="58"/>
      <c r="E42" s="46"/>
      <c r="F42" s="46"/>
      <c r="G42" s="46"/>
      <c r="H42" s="46"/>
      <c r="I42" s="46"/>
      <c r="J42" s="46"/>
      <c r="K42" s="46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27">
        <f t="shared" si="0"/>
        <v>0</v>
      </c>
      <c r="AJ42" s="11"/>
    </row>
    <row r="43" spans="1:36" x14ac:dyDescent="0.35">
      <c r="B43" s="9"/>
    </row>
  </sheetData>
  <sheetProtection algorithmName="SHA-512" hashValue="NIL+Mc7c0GIPuxWaT/ZvILnUbXdROWCxNFLn7sy2veGGaZHO6zgmeYWvUQGlo0vSWmRLZrfYNOYk6RKoJ8vjWw==" saltValue="2aMRTegtYgl4za+dHSKe3w==" spinCount="100000" sheet="1" objects="1" scenarios="1"/>
  <mergeCells count="41">
    <mergeCell ref="O4:O7"/>
    <mergeCell ref="AF2:AH2"/>
    <mergeCell ref="A6:B6"/>
    <mergeCell ref="AC4:AC7"/>
    <mergeCell ref="AD4:AD7"/>
    <mergeCell ref="AE4:AE7"/>
    <mergeCell ref="AF4:AF7"/>
    <mergeCell ref="Q4:Q7"/>
    <mergeCell ref="R4:R7"/>
    <mergeCell ref="S4:S7"/>
    <mergeCell ref="T4:T7"/>
    <mergeCell ref="U4:U7"/>
    <mergeCell ref="V4:V7"/>
    <mergeCell ref="K4:K7"/>
    <mergeCell ref="L4:L7"/>
    <mergeCell ref="M4:M7"/>
    <mergeCell ref="N4:N7"/>
    <mergeCell ref="AG4:AG7"/>
    <mergeCell ref="AH4:AH7"/>
    <mergeCell ref="W4:W7"/>
    <mergeCell ref="X4:X7"/>
    <mergeCell ref="Y4:Y7"/>
    <mergeCell ref="Z4:Z7"/>
    <mergeCell ref="AA4:AA7"/>
    <mergeCell ref="AB4:AB7"/>
    <mergeCell ref="P4:P7"/>
    <mergeCell ref="AI2:AI6"/>
    <mergeCell ref="D3:AH3"/>
    <mergeCell ref="C4:C7"/>
    <mergeCell ref="D4:D7"/>
    <mergeCell ref="E4:E7"/>
    <mergeCell ref="F4:F7"/>
    <mergeCell ref="G4:G7"/>
    <mergeCell ref="H4:H7"/>
    <mergeCell ref="I4:I7"/>
    <mergeCell ref="J4:J7"/>
    <mergeCell ref="D2:N2"/>
    <mergeCell ref="O2:S2"/>
    <mergeCell ref="T2:W2"/>
    <mergeCell ref="X2:Y2"/>
    <mergeCell ref="AB2:AC2"/>
  </mergeCells>
  <pageMargins left="0.19685039370078741" right="0.11811023622047245" top="0.19685039370078741" bottom="0.19685039370078741" header="0.51181102362204722" footer="0.51181102362204722"/>
  <pageSetup scale="2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5" master="" otherUserPermission="visible"/>
  <rangeList sheetStid="6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AVANCE A</vt:lpstr>
      <vt:lpstr>ASISTENCIA A</vt:lpstr>
      <vt:lpstr>AVANCE B</vt:lpstr>
      <vt:lpstr>ASISTENCIA B</vt:lpstr>
      <vt:lpstr>AVANCE C</vt:lpstr>
      <vt:lpstr>ASISTENCIA C</vt:lpstr>
      <vt:lpstr>AVANCE D</vt:lpstr>
      <vt:lpstr>ASISTENCIA D</vt:lpstr>
      <vt:lpstr>AVANCE E</vt:lpstr>
      <vt:lpstr>ASISTENCIA E</vt:lpstr>
      <vt:lpstr>'AVANCE A'!Área_de_impresión</vt:lpstr>
      <vt:lpstr>'AVANCE B'!Área_de_impresión</vt:lpstr>
      <vt:lpstr>'AVANCE C'!Área_de_impresión</vt:lpstr>
      <vt:lpstr>'AVANCE D'!Área_de_impresión</vt:lpstr>
      <vt:lpstr>'AVANCE 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BETANCOURTHN</dc:creator>
  <cp:lastModifiedBy>BELLORINAZ</cp:lastModifiedBy>
  <cp:lastPrinted>2026-10-18T10:01:05Z</cp:lastPrinted>
  <dcterms:created xsi:type="dcterms:W3CDTF">2023-01-17T14:31:41Z</dcterms:created>
  <dcterms:modified xsi:type="dcterms:W3CDTF">2026-10-18T11:54:53Z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473F4EDBB5FC4F909EEF9F115E1DCA09_13</vt:lpwstr>
  </property>
  <property fmtid="{D5CDD505-2E9C-101B-9397-08002B2CF9AE}" pid="3" name="KSOProductBuildVer">
    <vt:lpwstr>3082-12.2.0.21931</vt:lpwstr>
  </property>
</Properties>
</file>